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showInkAnnotation="0" autoCompressPictures="0"/>
  <xr:revisionPtr revIDLastSave="0" documentId="11_EB02E4022D41CD248C06E0BBDC054A23E6F2168F" xr6:coauthVersionLast="47" xr6:coauthVersionMax="47" xr10:uidLastSave="{00000000-0000-0000-0000-000000000000}"/>
  <bookViews>
    <workbookView xWindow="0" yWindow="0" windowWidth="0" windowHeight="0" xr2:uid="{00000000-000D-0000-FFFF-FFFF00000000}"/>
  </bookViews>
  <sheets>
    <sheet name="Overview" sheetId="1" r:id="rId1"/>
    <sheet name="UBL Billing fields" sheetId="2" r:id="rId2"/>
    <sheet name="Peppol identifier" sheetId="3" r:id="rId3"/>
    <sheet name="AP onboarding" sheetId="4" r:id="rId4"/>
    <sheet name="Participant lifecycle" sheetId="5" r:id="rId5"/>
    <sheet name="Message lifecycle" sheetId="6" r:id="rId6"/>
    <sheet name="Sources" sheetId="7" r:id="rId7"/>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 l="1"/>
  <c r="B14" i="1"/>
  <c r="D14" i="1" s="1"/>
  <c r="C13" i="1"/>
  <c r="B13" i="1"/>
  <c r="D13" i="1" s="1"/>
  <c r="C12" i="1"/>
  <c r="B12" i="1"/>
  <c r="D12" i="1" s="1"/>
  <c r="C11" i="1"/>
  <c r="B11" i="1"/>
  <c r="D11" i="1" s="1"/>
  <c r="C10" i="1"/>
  <c r="B10" i="1"/>
  <c r="D10" i="1" s="1"/>
</calcChain>
</file>

<file path=xl/sharedStrings.xml><?xml version="1.0" encoding="utf-8"?>
<sst xmlns="http://schemas.openxmlformats.org/spreadsheetml/2006/main" count="9593" uniqueCount="3051">
  <si>
    <t>Peppol UBL 2.1 data requirements</t>
  </si>
  <si>
    <t>Product-manager reference for Peppol BIS Billing 3 Invoice/Credit Note fields, identifier creation, Access Point onboarding and lifecycle data. Prepared 7 October 2026.</t>
  </si>
  <si>
    <t>Scope and interpretation</t>
  </si>
  <si>
    <t>This workbook treats “UBL 2.1” as the Peppol e-invoicing payload: UBL 2.1 Invoice and CreditNote under Peppol BIS Billing 3. It is not a catalogue of every document type in the full OASIS UBL 2.1 library. Local PINT specialisations and country rules can add or tighten validation. Always run the current Peppol Schematron/code-list validator before transmission.</t>
  </si>
  <si>
    <t>Metric</t>
  </si>
  <si>
    <t>Invoice</t>
  </si>
  <si>
    <t>Credit Note</t>
  </si>
  <si>
    <t>Total</t>
  </si>
  <si>
    <t>Requirement legend</t>
  </si>
  <si>
    <t>All syntax entries</t>
  </si>
  <si>
    <t>Mandatory</t>
  </si>
  <si>
    <t>Required in every valid document because both the field and all ancestor groups are required.</t>
  </si>
  <si>
    <t>Mandatory within optional group</t>
  </si>
  <si>
    <t>Required only if its optional parent group is supplied; this is not globally mandatory.</t>
  </si>
  <si>
    <t>Conditional</t>
  </si>
  <si>
    <t>Optional cardinality but a Peppol/EN16931 business rule can require it in a stated scenario.</t>
  </si>
  <si>
    <t>Optional</t>
  </si>
  <si>
    <t>May be omitted, but any supplied value must still pass datatype, code-list and business-rule validation.</t>
  </si>
  <si>
    <t>How to use this workbook</t>
  </si>
  <si>
    <t>1</t>
  </si>
  <si>
    <t>Filter UBL Billing fields by Document, Section and Requirement before defining product-to-platform mappings.</t>
  </si>
  <si>
    <t>2</t>
  </si>
  <si>
    <t>Treat the UBL cardinality as the structural baseline; the Validation focus and Description columns capture additional Peppol conditions.</t>
  </si>
  <si>
    <t>3</t>
  </si>
  <si>
    <t>Use Peppol identifier and AP onboarding as API contract/checklist inputs. They distinguish business-supplied data from platform-generated data.</t>
  </si>
  <si>
    <t>4</t>
  </si>
  <si>
    <t>Participant lifecycle statuses are recommended platform states, not an official universal Peppol state machine. Message lifecycle includes official AS4, MLS and Invoice Response semantics.</t>
  </si>
  <si>
    <t>5</t>
  </si>
  <si>
    <t>Use Sources to confirm the release and validate any implementation-sensitive detail before solution design sign-off.</t>
  </si>
  <si>
    <t>UBL 2.1 Invoice and Credit Note field catalogue</t>
  </si>
  <si>
    <t>Official Peppol BIS Billing 3 syntax tree (Peppol BIS Billing 3.0, May 2026 release). 554 entries extracted 2026-10-07.</t>
  </si>
  <si>
    <t>Document</t>
  </si>
  <si>
    <t>Section</t>
  </si>
  <si>
    <t>Business field</t>
  </si>
  <si>
    <t>UBL element / attribute</t>
  </si>
  <si>
    <t>XPath</t>
  </si>
  <si>
    <t>Cardinality</t>
  </si>
  <si>
    <t>Requirement</t>
  </si>
  <si>
    <t>Mandatory?</t>
  </si>
  <si>
    <t>Repeatable?</t>
  </si>
  <si>
    <t>Peppol validation required?</t>
  </si>
  <si>
    <t>Validation focus</t>
  </si>
  <si>
    <t>Description / condition</t>
  </si>
  <si>
    <t>Default value</t>
  </si>
  <si>
    <t>Example value</t>
  </si>
  <si>
    <t>Field specification</t>
  </si>
  <si>
    <t>ubl:Invoice</t>
  </si>
  <si>
    <t>1..1</t>
  </si>
  <si>
    <t>Yes</t>
  </si>
  <si>
    <t>No</t>
  </si>
  <si>
    <t>Validate datatype, cardinality, length and applicable BIS Schematron rules</t>
  </si>
  <si>
    <t>https://docs.peppol.eu/poacc/billing/3.0/syntax/ubl-invoice/</t>
  </si>
  <si>
    <t>Document header</t>
  </si>
  <si>
    <t>Specification identifier</t>
  </si>
  <si>
    <t>cbc:CustomizationID</t>
  </si>
  <si>
    <t>ubl:Invoice/cbc:CustomizationID</t>
  </si>
  <si>
    <t>Fixed/default Peppol value: urn:cen.eu:en16931:2017#compliant#urn:fdc:peppol.eu:2017:poacc:billing:3.0</t>
  </si>
  <si>
    <t>An identification of the specification containing the total set of rules regarding semantic content, cardinalities and business rules to which the data contained in the instance document conforms.</t>
  </si>
  <si>
    <t>urn:cen.eu:en16931:2017#compliant#urn:fdc:peppol.eu:2017:poacc:billing:3.0</t>
  </si>
  <si>
    <t>https://docs.peppol.eu/poacc/billing/3.0/syntax/ubl-invoice/cbc-CustomizationID/</t>
  </si>
  <si>
    <t>Business process type</t>
  </si>
  <si>
    <t>cbc:ProfileID</t>
  </si>
  <si>
    <t>ubl:Invoice/cbc:ProfileID</t>
  </si>
  <si>
    <t>Fixed/default Peppol value: urn:fdc:peppol.eu:2017:poacc:billing:01:1.0</t>
  </si>
  <si>
    <t>Identifies the business process context in which the transaction appears, to enable the Buyer to process the Invoice in an appropriate way.</t>
  </si>
  <si>
    <t>urn:fdc:peppol.eu:2017:poacc:billing:01:1.0</t>
  </si>
  <si>
    <t>https://docs.peppol.eu/poacc/billing/3.0/syntax/ubl-invoice/cbc-ProfileID/</t>
  </si>
  <si>
    <t>Invoice number</t>
  </si>
  <si>
    <t>cbc:ID</t>
  </si>
  <si>
    <t>ubl:Invoice/cbc:ID</t>
  </si>
  <si>
    <t>A unique identification of the Invoice. The sequential number required in Article 226(2) of the directive 2006/112/EC [2], to uniquely identify the Invoice within the business context, time-frame, operating systems and records of the Seller. No identification scheme is to be used.</t>
  </si>
  <si>
    <t>33445566</t>
  </si>
  <si>
    <t>https://docs.peppol.eu/poacc/billing/3.0/syntax/ubl-invoice/cbc-ID/</t>
  </si>
  <si>
    <t>Invoice issue date</t>
  </si>
  <si>
    <t>cbc:IssueDate</t>
  </si>
  <si>
    <t>ubl:Invoice/cbc:IssueDate</t>
  </si>
  <si>
    <t>ISO date format YYYY-MM-DD where applicable</t>
  </si>
  <si>
    <t>The date when the Invoice was issued. Format "YYYY-MM-DD"</t>
  </si>
  <si>
    <t>2017-11-01</t>
  </si>
  <si>
    <t>https://docs.peppol.eu/poacc/billing/3.0/syntax/ubl-invoice/cbc-IssueDate/</t>
  </si>
  <si>
    <t>Payment due date</t>
  </si>
  <si>
    <t>cbc:DueDate</t>
  </si>
  <si>
    <t>ubl:Invoice/cbc:DueDate</t>
  </si>
  <si>
    <t>0..1</t>
  </si>
  <si>
    <t>ISO date format YYYY-MM-DD where applicable; Numeric datatype, sign, decimal precision and cross-total rules; Apply the conditional/business rule stated in the description</t>
  </si>
  <si>
    <t>The date when the payment is due.Format "YYYY-MM-DD". In case the Amount due for payment (BT-115) is positive, either the Payment due date (BT-9) or the Payment terms (BT-20) shall be present.</t>
  </si>
  <si>
    <t>https://docs.peppol.eu/poacc/billing/3.0/syntax/ubl-invoice/cbc-DueDate/</t>
  </si>
  <si>
    <t>Invoice type code</t>
  </si>
  <si>
    <t>cbc:InvoiceTypeCode</t>
  </si>
  <si>
    <t>ubl:Invoice/cbc:InvoiceTypeCode</t>
  </si>
  <si>
    <t>Allowed UNCL 1001 document type code for the process</t>
  </si>
  <si>
    <t>A code specifying the functional type of the Invoice.</t>
  </si>
  <si>
    <t>380</t>
  </si>
  <si>
    <t>https://docs.peppol.eu/poacc/billing/3.0/syntax/ubl-invoice/cbc-InvoiceTypeCode/</t>
  </si>
  <si>
    <t>Invoice note</t>
  </si>
  <si>
    <t>cbc:Note</t>
  </si>
  <si>
    <t>ubl:Invoice/cbc:Note</t>
  </si>
  <si>
    <t>A textual note that gives unstructured information that is relevant to the Invoice as a whole.Such as the reason for any correction or assignment note in case the invoice has been factored. The element is not repeatable, except when both the Buyer and Seller are German, in which case the element can be repeated to meet specific legal requirements.</t>
  </si>
  <si>
    <t>Please note our new phone number 33 44 55 66</t>
  </si>
  <si>
    <t>https://docs.peppol.eu/poacc/billing/3.0/syntax/ubl-invoice/cbc-Note/</t>
  </si>
  <si>
    <t>Value added tax point date</t>
  </si>
  <si>
    <t>cbc:TaxPointDate</t>
  </si>
  <si>
    <t>ubl:Invoice/cbc:TaxPointDate</t>
  </si>
  <si>
    <t>The date when the VAT becomes accountable for the Seller and for the Buyer in so far as that date can be determined and differs from the date of issue of the invoice, according to the VAT directive.This element is required if the Value added tax point date is different from the Invoice issue date.</t>
  </si>
  <si>
    <t>https://docs.peppol.eu/poacc/billing/3.0/syntax/ubl-invoice/cbc-TaxPointDate/</t>
  </si>
  <si>
    <t>Invoice currency code</t>
  </si>
  <si>
    <t>cbc:DocumentCurrencyCode</t>
  </si>
  <si>
    <t>ubl:Invoice/cbc:DocumentCurrencyCode</t>
  </si>
  <si>
    <t>ISO 4217 currency code; currencyID must align to document/tax currency; Numeric datatype, sign, decimal precision and cross-total rules; Apply the conditional/business rule stated in the description</t>
  </si>
  <si>
    <t>The currency in which all Invoice amounts are given, except for the Total VAT amount in accounting currency. Only one currency shall be used in the Invoice, except for the VAT accounting currency code (BT-6) and the invoice total VAT amount in accounting currency (BT-111).</t>
  </si>
  <si>
    <t>EUR</t>
  </si>
  <si>
    <t>https://docs.peppol.eu/poacc/billing/3.0/syntax/ubl-invoice/cbc-DocumentCurrencyCode/</t>
  </si>
  <si>
    <t>VAT accounting currency code</t>
  </si>
  <si>
    <t>cbc:TaxCurrencyCode</t>
  </si>
  <si>
    <t>ubl:Invoice/cbc:TaxCurrencyCode</t>
  </si>
  <si>
    <t>ISO 4217 currency code; currencyID must align to document/tax currency; ISO 3166-1 alpha-2 country code; Numeric datatype, sign, decimal precision and cross-total rules; Apply the conditional/business rule stated in the description</t>
  </si>
  <si>
    <t>The currency used for VAT accounting and reporting purposes as accepted or required in the country of the Seller. Shall be used in combination with the Invoice total VAT amount in accounting currency (BT-111), when the VAT accounting currency code differs from the Invoice currency code.</t>
  </si>
  <si>
    <t>SEK</t>
  </si>
  <si>
    <t>https://docs.peppol.eu/poacc/billing/3.0/syntax/ubl-invoice/cbc-TaxCurrencyCode/</t>
  </si>
  <si>
    <t>Buyer accounting reference</t>
  </si>
  <si>
    <t>cbc:AccountingCost</t>
  </si>
  <si>
    <t>ubl:Invoice/cbc:AccountingCost</t>
  </si>
  <si>
    <t>A textual value that specifies where to book the relevant data into the Buyer's financial accounts.</t>
  </si>
  <si>
    <t>4217:2323:2323</t>
  </si>
  <si>
    <t>https://docs.peppol.eu/poacc/billing/3.0/syntax/ubl-invoice/cbc-AccountingCost/</t>
  </si>
  <si>
    <t>Buyer reference</t>
  </si>
  <si>
    <t>cbc:BuyerReference</t>
  </si>
  <si>
    <t>ubl:Invoice/cbc:BuyerReference</t>
  </si>
  <si>
    <t>Apply the conditional/business rule stated in the description</t>
  </si>
  <si>
    <t>An identifier assigned by the Buyer used for internal routing purposes. An invoice must have buyer reference or purchase order reference (BT-13).</t>
  </si>
  <si>
    <t>abs1234</t>
  </si>
  <si>
    <t>https://docs.peppol.eu/poacc/billing/3.0/syntax/ubl-invoice/cbc-BuyerReference/</t>
  </si>
  <si>
    <t>Invoice period</t>
  </si>
  <si>
    <t>DELIVERY OR INVOICE PERIOD</t>
  </si>
  <si>
    <t>cac:InvoicePeriod</t>
  </si>
  <si>
    <t>ubl:Invoice/cac:InvoicePeriod</t>
  </si>
  <si>
    <t>ISO date format YYYY-MM-DD where applicable; Apply the conditional/business rule stated in the description</t>
  </si>
  <si>
    <t>A group of business terms providing information on the invoice period. Also called delivery period. If the group is used, the invoiceing period start date and/or end date must be used.</t>
  </si>
  <si>
    <t>https://docs.peppol.eu/poacc/billing/3.0/syntax/ubl-invoice/cac-InvoicePeriod/</t>
  </si>
  <si>
    <t>Invoicing period start date</t>
  </si>
  <si>
    <t>cbc:StartDate</t>
  </si>
  <si>
    <t>ubl:Invoice/cac:InvoicePeriod/cbc:StartDate</t>
  </si>
  <si>
    <t>The date when the Invoice period starts. Format = "YYYY-MM-DD".</t>
  </si>
  <si>
    <t>2017-10-01</t>
  </si>
  <si>
    <t>https://docs.peppol.eu/poacc/billing/3.0/syntax/ubl-invoice/cac-InvoicePeriod/cbc-StartDate/</t>
  </si>
  <si>
    <t>Invoicing period end date</t>
  </si>
  <si>
    <t>cbc:EndDate</t>
  </si>
  <si>
    <t>ubl:Invoice/cac:InvoicePeriod/cbc:EndDate</t>
  </si>
  <si>
    <t>The date when the Invoice period ends. Format = "YYYY-MM-DD".</t>
  </si>
  <si>
    <t>2017-10-31</t>
  </si>
  <si>
    <t>https://docs.peppol.eu/poacc/billing/3.0/syntax/ubl-invoice/cac-InvoicePeriod/cbc-EndDate/</t>
  </si>
  <si>
    <t>Value added tax point date code</t>
  </si>
  <si>
    <t>cbc:DescriptionCode</t>
  </si>
  <si>
    <t>ubl:Invoice/cac:InvoicePeriod/cbc:DescriptionCode</t>
  </si>
  <si>
    <t>The code of the date when the VAT becomes accountable for the Seller and for the Buyer.</t>
  </si>
  <si>
    <t>35</t>
  </si>
  <si>
    <t>https://docs.peppol.eu/poacc/billing/3.0/syntax/ubl-invoice/cac-InvoicePeriod/cbc-DescriptionCode/</t>
  </si>
  <si>
    <t>References</t>
  </si>
  <si>
    <t>ORDER AND SALES ORDER REFERENCE</t>
  </si>
  <si>
    <t>cac:OrderReference</t>
  </si>
  <si>
    <t>ubl:Invoice/cac:OrderReference</t>
  </si>
  <si>
    <t>https://docs.peppol.eu/poacc/billing/3.0/syntax/ubl-invoice/cac-OrderReference/</t>
  </si>
  <si>
    <t>Purchase order reference</t>
  </si>
  <si>
    <t>ubl:Invoice/cac:OrderReference/cbc:ID</t>
  </si>
  <si>
    <t>An identifier of a referenced purchase order, issued by the Buyer. An invoice must have buyer reference (BT-10) or purchase order reference. In cases where sales order reference is provided, but there's no purchase order reference, then use value "NA" as this element is mandatory in UBL.</t>
  </si>
  <si>
    <t>98776</t>
  </si>
  <si>
    <t>https://docs.peppol.eu/poacc/billing/3.0/syntax/ubl-invoice/cac-OrderReference/cbc-ID/</t>
  </si>
  <si>
    <t>Sales order reference</t>
  </si>
  <si>
    <t>cbc:SalesOrderID</t>
  </si>
  <si>
    <t>ubl:Invoice/cac:OrderReference/cbc:SalesOrderID</t>
  </si>
  <si>
    <t>An identifier of a referenced sales order, issued by the Seller. In cases where sales order reference is provided, but there's no purchase order reference, then set cac:OrderReference/cbc:ID to value "NA" as this element is mandatory in UBL.</t>
  </si>
  <si>
    <t>112233</t>
  </si>
  <si>
    <t>https://docs.peppol.eu/poacc/billing/3.0/syntax/ubl-invoice/cac-OrderReference/cbc-SalesOrderID/</t>
  </si>
  <si>
    <t>PRECEDING INVOICE REFERENCE</t>
  </si>
  <si>
    <t>cac:BillingReference</t>
  </si>
  <si>
    <t>ubl:Invoice/cac:BillingReference</t>
  </si>
  <si>
    <t>0..n</t>
  </si>
  <si>
    <t>A group of business terms providing information on one or more preceding Invoices.</t>
  </si>
  <si>
    <t>https://docs.peppol.eu/poacc/billing/3.0/syntax/ubl-invoice/cac-BillingReference/</t>
  </si>
  <si>
    <t>INVOICE DOCUMENT REFERENCE</t>
  </si>
  <si>
    <t>cac:InvoiceDocumentReference</t>
  </si>
  <si>
    <t>ubl:Invoice/cac:BillingReference/cac:InvoiceDocumentReference</t>
  </si>
  <si>
    <t>https://docs.peppol.eu/poacc/billing/3.0/syntax/ubl-invoice/cac-BillingReference/cac-InvoiceDocumentReference/</t>
  </si>
  <si>
    <t>Preceding Invoice number</t>
  </si>
  <si>
    <t>ubl:Invoice/cac:BillingReference/cac:InvoiceDocumentReference/cbc:ID</t>
  </si>
  <si>
    <t>The identification of an Invoice that was previously sent by the Seller.</t>
  </si>
  <si>
    <t>inv123</t>
  </si>
  <si>
    <t>https://docs.peppol.eu/poacc/billing/3.0/syntax/ubl-invoice/cac-BillingReference/cac-InvoiceDocumentReference/cbc-ID/</t>
  </si>
  <si>
    <t>Preceding Invoice issue date</t>
  </si>
  <si>
    <t>ubl:Invoice/cac:BillingReference/cac:InvoiceDocumentReference/cbc:IssueDate</t>
  </si>
  <si>
    <t>The date when the Preceding Invoice was issued.Shall be provided in case the Preceding Invoice identifier is not unique. Format = "YYYY-MM-DD".</t>
  </si>
  <si>
    <t>2017-09-15</t>
  </si>
  <si>
    <t>https://docs.peppol.eu/poacc/billing/3.0/syntax/ubl-invoice/cac-BillingReference/cac-InvoiceDocumentReference/cbc-IssueDate/</t>
  </si>
  <si>
    <t>DESPATCH ADVICE REFERENCE</t>
  </si>
  <si>
    <t>cac:DespatchDocumentReference</t>
  </si>
  <si>
    <t>ubl:Invoice/cac:DespatchDocumentReference</t>
  </si>
  <si>
    <t>https://docs.peppol.eu/poacc/billing/3.0/syntax/ubl-invoice/cac-DespatchDocumentReference/</t>
  </si>
  <si>
    <t>Despatch advice reference</t>
  </si>
  <si>
    <t>ubl:Invoice/cac:DespatchDocumentReference/cbc:ID</t>
  </si>
  <si>
    <t>An identifier of a referenced despatch advice.</t>
  </si>
  <si>
    <t>desp98</t>
  </si>
  <si>
    <t>https://docs.peppol.eu/poacc/billing/3.0/syntax/ubl-invoice/cac-DespatchDocumentReference/cbc-ID/</t>
  </si>
  <si>
    <t>RECEIPT ADVICE REFERENCE</t>
  </si>
  <si>
    <t>cac:ReceiptDocumentReference</t>
  </si>
  <si>
    <t>ubl:Invoice/cac:ReceiptDocumentReference</t>
  </si>
  <si>
    <t>https://docs.peppol.eu/poacc/billing/3.0/syntax/ubl-invoice/cac-ReceiptDocumentReference/</t>
  </si>
  <si>
    <t>Receiving advice reference</t>
  </si>
  <si>
    <t>ubl:Invoice/cac:ReceiptDocumentReference/cbc:ID</t>
  </si>
  <si>
    <t>An identifier of a referenced receiving advice.</t>
  </si>
  <si>
    <t>rec98</t>
  </si>
  <si>
    <t>https://docs.peppol.eu/poacc/billing/3.0/syntax/ubl-invoice/cac-ReceiptDocumentReference/cbc-ID/</t>
  </si>
  <si>
    <t>TENDER OR LOT REFERENCE</t>
  </si>
  <si>
    <t>cac:OriginatorDocumentReference</t>
  </si>
  <si>
    <t>ubl:Invoice/cac:OriginatorDocumentReference</t>
  </si>
  <si>
    <t>https://docs.peppol.eu/poacc/billing/3.0/syntax/ubl-invoice/cac-OriginatorDocumentReference/</t>
  </si>
  <si>
    <t>Tender or lot reference</t>
  </si>
  <si>
    <t>ubl:Invoice/cac:OriginatorDocumentReference/cbc:ID</t>
  </si>
  <si>
    <t>The identification of the call for tender or lot the invoice relates to.</t>
  </si>
  <si>
    <t>PPID-123</t>
  </si>
  <si>
    <t>https://docs.peppol.eu/poacc/billing/3.0/syntax/ubl-invoice/cac-OriginatorDocumentReference/cbc-ID/</t>
  </si>
  <si>
    <t>CONTRACT REFERENCE</t>
  </si>
  <si>
    <t>cac:ContractDocumentReference</t>
  </si>
  <si>
    <t>ubl:Invoice/cac:ContractDocumentReference</t>
  </si>
  <si>
    <t>https://docs.peppol.eu/poacc/billing/3.0/syntax/ubl-invoice/cac-ContractDocumentReference/</t>
  </si>
  <si>
    <t>Contract reference</t>
  </si>
  <si>
    <t>ubl:Invoice/cac:ContractDocumentReference/cbc:ID</t>
  </si>
  <si>
    <t>The identification of a contract.</t>
  </si>
  <si>
    <t>123Contractref</t>
  </si>
  <si>
    <t>https://docs.peppol.eu/poacc/billing/3.0/syntax/ubl-invoice/cac-ContractDocumentReference/cbc-ID/</t>
  </si>
  <si>
    <t>Supporting documents</t>
  </si>
  <si>
    <t>ADDITIONAL SUPPORTING DOCUMENTS</t>
  </si>
  <si>
    <t>cac:AdditionalDocumentReference</t>
  </si>
  <si>
    <t>ubl:Invoice/cac:AdditionalDocumentReference</t>
  </si>
  <si>
    <t>A group of business terms providing information about additional supporting documents substantiating the claims made in the Invoice. The additional supporting documents can be used for both referencing a document number which is expected to be known by the receiver, an external document (referenced by a URL) or as an embedded document, Base64 encoded (such as a time report).</t>
  </si>
  <si>
    <t>https://docs.peppol.eu/poacc/billing/3.0/syntax/ubl-invoice/cac-AdditionalDocumentReference/</t>
  </si>
  <si>
    <t>Invoiced object identifier, Supporting document reference</t>
  </si>
  <si>
    <t>ubl:Invoice/cac:AdditionalDocumentReference/cbc:ID</t>
  </si>
  <si>
    <t>An identifier for an object on which the invoice is based, given by the Seller, or the identifier for the supporting document.</t>
  </si>
  <si>
    <t>AB23456</t>
  </si>
  <si>
    <t>https://docs.peppol.eu/poacc/billing/3.0/syntax/ubl-invoice/cac-AdditionalDocumentReference/cbc-ID/</t>
  </si>
  <si>
    <t>Scheme identifier</t>
  </si>
  <si>
    <t>@schemeID</t>
  </si>
  <si>
    <t>ubl:Invoice/cac:AdditionalDocumentReference/cbc:ID/@schemeID</t>
  </si>
  <si>
    <t>O</t>
  </si>
  <si>
    <t>Identifier value and scheme must use an allowed Peppol/EAS scheme</t>
  </si>
  <si>
    <t>The identification scheme identifier of the Invoiced object identifier.</t>
  </si>
  <si>
    <t>AUN</t>
  </si>
  <si>
    <t>https://docs.peppol.eu/poacc/billing/3.0/syntax/ubl-invoice/cac-AdditionalDocumentReference/cbc-ID/schemeID/</t>
  </si>
  <si>
    <t>Document type code</t>
  </si>
  <si>
    <t>cbc:DocumentTypeCode</t>
  </si>
  <si>
    <t>ubl:Invoice/cac:AdditionalDocumentReference/cbc:DocumentTypeCode</t>
  </si>
  <si>
    <t>Fixed/default Peppol value: 130; Apply the conditional/business rule stated in the description</t>
  </si>
  <si>
    <t>Code "130" MUST be used to indicate an invoice object reference. Not used for other additional documents</t>
  </si>
  <si>
    <t>130</t>
  </si>
  <si>
    <t>https://docs.peppol.eu/poacc/billing/3.0/syntax/ubl-invoice/cac-AdditionalDocumentReference/cbc-DocumentTypeCode/</t>
  </si>
  <si>
    <t>Supporting document description</t>
  </si>
  <si>
    <t>cbc:DocumentDescription</t>
  </si>
  <si>
    <t>ubl:Invoice/cac:AdditionalDocumentReference/cbc:DocumentDescription</t>
  </si>
  <si>
    <t>A description of the supporting document, such as: timesheet, usage report etc.</t>
  </si>
  <si>
    <t>Time list</t>
  </si>
  <si>
    <t>https://docs.peppol.eu/poacc/billing/3.0/syntax/ubl-invoice/cac-AdditionalDocumentReference/cbc-DocumentDescription/</t>
  </si>
  <si>
    <t>ATTACHMENT</t>
  </si>
  <si>
    <t>cac:Attachment</t>
  </si>
  <si>
    <t>ubl:Invoice/cac:AdditionalDocumentReference/cac:Attachment</t>
  </si>
  <si>
    <t>https://docs.peppol.eu/poacc/billing/3.0/syntax/ubl-invoice/cac-AdditionalDocumentReference/cac-Attachment/</t>
  </si>
  <si>
    <t>Attached document</t>
  </si>
  <si>
    <t>cbc:EmbeddedDocumentBinaryObject</t>
  </si>
  <si>
    <t>ubl:Invoice/cac:AdditionalDocumentReference/cac:Attachment/cbc:EmbeddedDocumentBinaryObject</t>
  </si>
  <si>
    <t>An attached document embedded as binary object (Base64) or sent together with the invoice.</t>
  </si>
  <si>
    <t>aHR0cHM6Ly90ZXN0LXZlZmEuZGlmaS5uby9wZXBwb2xiaXMvcG9hY2MvYmlsbGluZy8zLjAvYmlzLw==</t>
  </si>
  <si>
    <t>https://docs.peppol.eu/poacc/billing/3.0/syntax/ubl-invoice/cac-AdditionalDocumentReference/cac-Attachment/cbc-EmbeddedDocumentBinaryObject/</t>
  </si>
  <si>
    <t>Attached document Mime code</t>
  </si>
  <si>
    <t>@mimeCode</t>
  </si>
  <si>
    <t>ubl:Invoice/cac:AdditionalDocumentReference/cac:Attachment/cbc:EmbeddedDocumentBinaryObject/@mimeCode</t>
  </si>
  <si>
    <t>M</t>
  </si>
  <si>
    <t>Allowed Peppol MIME type</t>
  </si>
  <si>
    <t>The mime code of the attached document.</t>
  </si>
  <si>
    <t>text/csv</t>
  </si>
  <si>
    <t>https://docs.peppol.eu/poacc/billing/3.0/syntax/ubl-invoice/cac-AdditionalDocumentReference/cac-Attachment/cbc-EmbeddedDocumentBinaryObject/mimeCode/</t>
  </si>
  <si>
    <t>Attached document Filename</t>
  </si>
  <si>
    <t>@filename</t>
  </si>
  <si>
    <t>ubl:Invoice/cac:AdditionalDocumentReference/cac:Attachment/cbc:EmbeddedDocumentBinaryObject/@filename</t>
  </si>
  <si>
    <t>The file name of the attached document</t>
  </si>
  <si>
    <t>Hours-spent.csv</t>
  </si>
  <si>
    <t>https://docs.peppol.eu/poacc/billing/3.0/syntax/ubl-invoice/cac-AdditionalDocumentReference/cac-Attachment/cbc-EmbeddedDocumentBinaryObject/filename/</t>
  </si>
  <si>
    <t>EXTERNAL REFERENCE</t>
  </si>
  <si>
    <t>cac:ExternalReference</t>
  </si>
  <si>
    <t>ubl:Invoice/cac:AdditionalDocumentReference/cac:Attachment/cac:ExternalReference</t>
  </si>
  <si>
    <t>https://docs.peppol.eu/poacc/billing/3.0/syntax/ubl-invoice/cac-AdditionalDocumentReference/cac-Attachment/cac-ExternalReference/</t>
  </si>
  <si>
    <t>External document location</t>
  </si>
  <si>
    <t>cbc:URI</t>
  </si>
  <si>
    <t>ubl:Invoice/cac:AdditionalDocumentReference/cac:Attachment/cac:ExternalReference/cbc:URI</t>
  </si>
  <si>
    <t>The URL (Uniform Resource Locator) that identifies where the external document is located. A means of locating the resource, including its primary access mechanism, e.g. http:// or ftp://.</t>
  </si>
  <si>
    <t>http://www.example.com/index.html</t>
  </si>
  <si>
    <t>https://docs.peppol.eu/poacc/billing/3.0/syntax/ubl-invoice/cac-AdditionalDocumentReference/cac-Attachment/cac-ExternalReference/cbc-URI/</t>
  </si>
  <si>
    <t>PROJECT REFERENCE</t>
  </si>
  <si>
    <t>cac:ProjectReference</t>
  </si>
  <si>
    <t>ubl:Invoice/cac:ProjectReference</t>
  </si>
  <si>
    <t>https://docs.peppol.eu/poacc/billing/3.0/syntax/ubl-invoice/cac-ProjectReference/</t>
  </si>
  <si>
    <t>Project reference</t>
  </si>
  <si>
    <t>ubl:Invoice/cac:ProjectReference/cbc:ID</t>
  </si>
  <si>
    <t>The identification of the project the invoice refers to.</t>
  </si>
  <si>
    <t>PID33</t>
  </si>
  <si>
    <t>https://docs.peppol.eu/poacc/billing/3.0/syntax/ubl-invoice/cac-ProjectReference/cbc-ID/</t>
  </si>
  <si>
    <t>Seller</t>
  </si>
  <si>
    <t>SELLER</t>
  </si>
  <si>
    <t>cac:AccountingSupplierParty</t>
  </si>
  <si>
    <t>ubl:Invoice/cac:AccountingSupplierParty</t>
  </si>
  <si>
    <t>A group of business terms providing information about the Seller.</t>
  </si>
  <si>
    <t>https://docs.peppol.eu/poacc/billing/3.0/syntax/ubl-invoice/cac-AccountingSupplierParty/</t>
  </si>
  <si>
    <t>PARTY</t>
  </si>
  <si>
    <t>cac:Party</t>
  </si>
  <si>
    <t>ubl:Invoice/cac:AccountingSupplierParty/cac:Party</t>
  </si>
  <si>
    <t>https://docs.peppol.eu/poacc/billing/3.0/syntax/ubl-invoice/cac-AccountingSupplierParty/cac-Party/</t>
  </si>
  <si>
    <t>Seller electronic address</t>
  </si>
  <si>
    <t>cbc:EndpointID</t>
  </si>
  <si>
    <t>ubl:Invoice/cac:AccountingSupplierParty/cac:Party/cbc:EndpointID</t>
  </si>
  <si>
    <t>Identifies the Seller's electronic address to which the application level response to the invoice may be delivered.</t>
  </si>
  <si>
    <t>7300010000001</t>
  </si>
  <si>
    <t>https://docs.peppol.eu/poacc/billing/3.0/syntax/ubl-invoice/cac-AccountingSupplierParty/cac-Party/cbc-EndpointID/</t>
  </si>
  <si>
    <t>Seller electronic address identification scheme identifier</t>
  </si>
  <si>
    <t>ubl:Invoice/cac:AccountingSupplierParty/cac:Party/cbc:EndpointID/@schemeID</t>
  </si>
  <si>
    <t>The identification scheme identifier of the Seller electronic address</t>
  </si>
  <si>
    <t>0088</t>
  </si>
  <si>
    <t>https://docs.peppol.eu/poacc/billing/3.0/syntax/ubl-invoice/cac-AccountingSupplierParty/cac-Party/cbc-EndpointID/schemeID/</t>
  </si>
  <si>
    <t>PARTY IDENTIFICATION</t>
  </si>
  <si>
    <t>cac:PartyIdentification</t>
  </si>
  <si>
    <t>ubl:Invoice/cac:AccountingSupplierParty/cac:Party/cac:PartyIdentification</t>
  </si>
  <si>
    <t>https://docs.peppol.eu/poacc/billing/3.0/syntax/ubl-invoice/cac-AccountingSupplierParty/cac-Party/cac-PartyIdentification/</t>
  </si>
  <si>
    <t>Seller identifier or bank assigned creditor identifier</t>
  </si>
  <si>
    <t>ubl:Invoice/cac:AccountingSupplierParty/cac:Party/cac:PartyIdentification/cbc:ID</t>
  </si>
  <si>
    <t>This element is used for both the identification of the Seller, or the unique banking reference identifier of Seller (assigned by the Seller bank.). For seller identification use ICD code list, for SEPA bank assigned creditor reference, use SEPA. In order for the buyer to automatically identify a supplier, the Seller identifier (BT-29), the Seller legal registration identifier (BT-30) and/or the Seller VAT identifier (BT-31) shall be present</t>
  </si>
  <si>
    <t>5060012349998</t>
  </si>
  <si>
    <t>https://docs.peppol.eu/poacc/billing/3.0/syntax/ubl-invoice/cac-AccountingSupplierParty/cac-Party/cac-PartyIdentification/cbc-ID/</t>
  </si>
  <si>
    <t>Seller or bank assigned creditor identifier identification scheme identifier</t>
  </si>
  <si>
    <t>ubl:Invoice/cac:AccountingSupplierParty/cac:Party/cac:PartyIdentification/cbc:ID/@schemeID</t>
  </si>
  <si>
    <t>Identifier value and scheme must use an allowed Peppol/EAS scheme; Apply the conditional/business rule stated in the description</t>
  </si>
  <si>
    <t>The identification scheme identifier of the Seller identifier. For bank assigned creditor identifier (BT-90), value MUST be "SEPA"</t>
  </si>
  <si>
    <t>https://docs.peppol.eu/poacc/billing/3.0/syntax/ubl-invoice/cac-AccountingSupplierParty/cac-Party/cac-PartyIdentification/cbc-ID/schemeID/</t>
  </si>
  <si>
    <t>PARTY NAME</t>
  </si>
  <si>
    <t>cac:PartyName</t>
  </si>
  <si>
    <t>ubl:Invoice/cac:AccountingSupplierParty/cac:Party/cac:PartyName</t>
  </si>
  <si>
    <t>https://docs.peppol.eu/poacc/billing/3.0/syntax/ubl-invoice/cac-AccountingSupplierParty/cac-Party/cac-PartyName/</t>
  </si>
  <si>
    <t>Seller trading name</t>
  </si>
  <si>
    <t>cbc:Name</t>
  </si>
  <si>
    <t>ubl:Invoice/cac:AccountingSupplierParty/cac:Party/cac:PartyName/cbc:Name</t>
  </si>
  <si>
    <t>A name by which the Seller is known, other than Seller name (also known as Business name).</t>
  </si>
  <si>
    <t>Seller Business Name AS</t>
  </si>
  <si>
    <t>https://docs.peppol.eu/poacc/billing/3.0/syntax/ubl-invoice/cac-AccountingSupplierParty/cac-Party/cac-PartyName/cbc-Name/</t>
  </si>
  <si>
    <t>SELLER POSTAL ADDRESS</t>
  </si>
  <si>
    <t>cac:PostalAddress</t>
  </si>
  <si>
    <t>ubl:Invoice/cac:AccountingSupplierParty/cac:Party/cac:PostalAddress</t>
  </si>
  <si>
    <t>A group of business terms providing information about the address of the Seller. Sufficient components of the address are to be filled to comply with legal requirements.</t>
  </si>
  <si>
    <t>https://docs.peppol.eu/poacc/billing/3.0/syntax/ubl-invoice/cac-AccountingSupplierParty/cac-Party/cac-PostalAddress/</t>
  </si>
  <si>
    <t>Seller address line 1</t>
  </si>
  <si>
    <t>cbc:StreetName</t>
  </si>
  <si>
    <t>ubl:Invoice/cac:AccountingSupplierParty/cac:Party/cac:PostalAddress/cbc:StreetName</t>
  </si>
  <si>
    <t>The main address line in an address.</t>
  </si>
  <si>
    <t>Main Street 1</t>
  </si>
  <si>
    <t>https://docs.peppol.eu/poacc/billing/3.0/syntax/ubl-invoice/cac-AccountingSupplierParty/cac-Party/cac-PostalAddress/cbc-StreetName/</t>
  </si>
  <si>
    <t>Seller address line 2</t>
  </si>
  <si>
    <t>cbc:AdditionalStreetName</t>
  </si>
  <si>
    <t>ubl:Invoice/cac:AccountingSupplierParty/cac:Party/cac:PostalAddress/cbc:AdditionalStreetName</t>
  </si>
  <si>
    <t>An additional address line in an address that can be used to give further details supplementing the main line.</t>
  </si>
  <si>
    <t>Po Box 351</t>
  </si>
  <si>
    <t>https://docs.peppol.eu/poacc/billing/3.0/syntax/ubl-invoice/cac-AccountingSupplierParty/cac-Party/cac-PostalAddress/cbc-AdditionalStreetName/</t>
  </si>
  <si>
    <t>Seller city</t>
  </si>
  <si>
    <t>cbc:CityName</t>
  </si>
  <si>
    <t>ubl:Invoice/cac:AccountingSupplierParty/cac:Party/cac:PostalAddress/cbc:CityName</t>
  </si>
  <si>
    <t>The common name of the city, town or village, where the Seller address is located.</t>
  </si>
  <si>
    <t>London</t>
  </si>
  <si>
    <t>https://docs.peppol.eu/poacc/billing/3.0/syntax/ubl-invoice/cac-AccountingSupplierParty/cac-Party/cac-PostalAddress/cbc-CityName/</t>
  </si>
  <si>
    <t>Seller post code</t>
  </si>
  <si>
    <t>cbc:PostalZone</t>
  </si>
  <si>
    <t>ubl:Invoice/cac:AccountingSupplierParty/cac:Party/cac:PostalAddress/cbc:PostalZone</t>
  </si>
  <si>
    <t>The identifier for an addressable group of properties according to the relevant postal service.</t>
  </si>
  <si>
    <t>W1G 8LZ</t>
  </si>
  <si>
    <t>https://docs.peppol.eu/poacc/billing/3.0/syntax/ubl-invoice/cac-AccountingSupplierParty/cac-Party/cac-PostalAddress/cbc-PostalZone/</t>
  </si>
  <si>
    <t>Seller country subdivision</t>
  </si>
  <si>
    <t>cbc:CountrySubentity</t>
  </si>
  <si>
    <t>ubl:Invoice/cac:AccountingSupplierParty/cac:Party/cac:PostalAddress/cbc:CountrySubentity</t>
  </si>
  <si>
    <t>ISO 3166-1 alpha-2 country code</t>
  </si>
  <si>
    <t>The subdivision of a country.</t>
  </si>
  <si>
    <t>Region A</t>
  </si>
  <si>
    <t>https://docs.peppol.eu/poacc/billing/3.0/syntax/ubl-invoice/cac-AccountingSupplierParty/cac-Party/cac-PostalAddress/cbc-CountrySubentity/</t>
  </si>
  <si>
    <t>ADDRESS LINE</t>
  </si>
  <si>
    <t>cac:AddressLine</t>
  </si>
  <si>
    <t>ubl:Invoice/cac:AccountingSupplierParty/cac:Party/cac:PostalAddress/cac:AddressLine</t>
  </si>
  <si>
    <t>https://docs.peppol.eu/poacc/billing/3.0/syntax/ubl-invoice/cac-AccountingSupplierParty/cac-Party/cac-PostalAddress/cac-AddressLine/</t>
  </si>
  <si>
    <t>Seller address line 3</t>
  </si>
  <si>
    <t>cbc:Line</t>
  </si>
  <si>
    <t>ubl:Invoice/cac:AccountingSupplierParty/cac:Party/cac:PostalAddress/cac:AddressLine/cbc:Line</t>
  </si>
  <si>
    <t>Building 23</t>
  </si>
  <si>
    <t>https://docs.peppol.eu/poacc/billing/3.0/syntax/ubl-invoice/cac-AccountingSupplierParty/cac-Party/cac-PostalAddress/cac-AddressLine/cbc-Line/</t>
  </si>
  <si>
    <t>COUNTRY</t>
  </si>
  <si>
    <t>cac:Country</t>
  </si>
  <si>
    <t>ubl:Invoice/cac:AccountingSupplierParty/cac:Party/cac:PostalAddress/cac:Country</t>
  </si>
  <si>
    <t>https://docs.peppol.eu/poacc/billing/3.0/syntax/ubl-invoice/cac-AccountingSupplierParty/cac-Party/cac-PostalAddress/cac-Country/</t>
  </si>
  <si>
    <t>Seller country code</t>
  </si>
  <si>
    <t>cbc:IdentificationCode</t>
  </si>
  <si>
    <t>ubl:Invoice/cac:AccountingSupplierParty/cac:Party/cac:PostalAddress/cac:Country/cbc:IdentificationCode</t>
  </si>
  <si>
    <t>A code that identifies the country.</t>
  </si>
  <si>
    <t>GB</t>
  </si>
  <si>
    <t>https://docs.peppol.eu/poacc/billing/3.0/syntax/ubl-invoice/cac-AccountingSupplierParty/cac-Party/cac-PostalAddress/cac-Country/cbc-IdentificationCode/</t>
  </si>
  <si>
    <t>PARTY VAT/TAX IDENTIFIERS</t>
  </si>
  <si>
    <t>cac:PartyTaxScheme</t>
  </si>
  <si>
    <t>ubl:Invoice/cac:AccountingSupplierParty/cac:Party/cac:PartyTaxScheme</t>
  </si>
  <si>
    <t>0..2</t>
  </si>
  <si>
    <t>https://docs.peppol.eu/poacc/billing/3.0/syntax/ubl-invoice/cac-AccountingSupplierParty/cac-Party/cac-PartyTaxScheme/</t>
  </si>
  <si>
    <t>Seller VAT identifier, Seller tax registration identifier</t>
  </si>
  <si>
    <t>cbc:CompanyID</t>
  </si>
  <si>
    <t>ubl:Invoice/cac:AccountingSupplierParty/cac:Party/cac:PartyTaxScheme/cbc:CompanyID</t>
  </si>
  <si>
    <t>The Seller's VAT identifier (also known as Seller VAT identification number) or the local identification (defined by the Seller’s address) of the Seller for tax purposes or a reference that enables the Seller to state his registered tax status. In order for the buyer to automatically identify a supplier, the Seller identifier (BT-29), the Seller legal registration identifier (BT-30) and/or the Seller VAT identifier (BT-31) shall be present</t>
  </si>
  <si>
    <t>NO999888777</t>
  </si>
  <si>
    <t>https://docs.peppol.eu/poacc/billing/3.0/syntax/ubl-invoice/cac-AccountingSupplierParty/cac-Party/cac-PartyTaxScheme/cbc-CompanyID/</t>
  </si>
  <si>
    <t>TAX SCHEME</t>
  </si>
  <si>
    <t>cac:TaxScheme</t>
  </si>
  <si>
    <t>ubl:Invoice/cac:AccountingSupplierParty/cac:Party/cac:PartyTaxScheme/cac:TaxScheme</t>
  </si>
  <si>
    <t>Tax scheme identifier must be VAT where required by BIS Billing</t>
  </si>
  <si>
    <t>https://docs.peppol.eu/poacc/billing/3.0/syntax/ubl-invoice/cac-AccountingSupplierParty/cac-Party/cac-PartyTaxScheme/cac-TaxScheme/</t>
  </si>
  <si>
    <t>ubl:Invoice/cac:AccountingSupplierParty/cac:Party/cac:PartyTaxScheme/cac:TaxScheme/cbc:ID</t>
  </si>
  <si>
    <t>Mandatory element. For Seller VAT identifier (BT-31), use value “VAT”, for the seller tax registration identifier (BT-32), use != "VAT"</t>
  </si>
  <si>
    <t>VAT</t>
  </si>
  <si>
    <t>https://docs.peppol.eu/poacc/billing/3.0/syntax/ubl-invoice/cac-AccountingSupplierParty/cac-Party/cac-PartyTaxScheme/cac-TaxScheme/cbc-ID/</t>
  </si>
  <si>
    <t>PARTY LEGAL ENTITY</t>
  </si>
  <si>
    <t>cac:PartyLegalEntity</t>
  </si>
  <si>
    <t>ubl:Invoice/cac:AccountingSupplierParty/cac:Party/cac:PartyLegalEntity</t>
  </si>
  <si>
    <t>https://docs.peppol.eu/poacc/billing/3.0/syntax/ubl-invoice/cac-AccountingSupplierParty/cac-Party/cac-PartyLegalEntity/</t>
  </si>
  <si>
    <t>Seller name</t>
  </si>
  <si>
    <t>cbc:RegistrationName</t>
  </si>
  <si>
    <t>ubl:Invoice/cac:AccountingSupplierParty/cac:Party/cac:PartyLegalEntity/cbc:RegistrationName</t>
  </si>
  <si>
    <t>The full formal name by which the Seller is registered in the national registry of legal entities or as a Taxable person or otherwise trades as a person or persons.</t>
  </si>
  <si>
    <t>Full Formal Seller Name LTD.</t>
  </si>
  <si>
    <t>https://docs.peppol.eu/poacc/billing/3.0/syntax/ubl-invoice/cac-AccountingSupplierParty/cac-Party/cac-PartyLegalEntity/cbc-RegistrationName/</t>
  </si>
  <si>
    <t>Seller legal registration identifier</t>
  </si>
  <si>
    <t>ubl:Invoice/cac:AccountingSupplierParty/cac:Party/cac:PartyLegalEntity/cbc:CompanyID</t>
  </si>
  <si>
    <t>An identifier issued by an official registrar that identifies the Seller as a legal entity or person. In order for the buyer to automatically identify a supplier, the Seller identifier (BT-29), the Seller legal registration identifier (BT-30) and/or the Seller VAT identifier (BT-31) shall be present</t>
  </si>
  <si>
    <t>987654321</t>
  </si>
  <si>
    <t>https://docs.peppol.eu/poacc/billing/3.0/syntax/ubl-invoice/cac-AccountingSupplierParty/cac-Party/cac-PartyLegalEntity/cbc-CompanyID/</t>
  </si>
  <si>
    <t>Seller legal registration identifier identification scheme identifier</t>
  </si>
  <si>
    <t>ubl:Invoice/cac:AccountingSupplierParty/cac:Party/cac:PartyLegalEntity/cbc:CompanyID/@schemeID</t>
  </si>
  <si>
    <t>The identification scheme identifier of the Seller legal registration identifier.</t>
  </si>
  <si>
    <t>0002</t>
  </si>
  <si>
    <t>https://docs.peppol.eu/poacc/billing/3.0/syntax/ubl-invoice/cac-AccountingSupplierParty/cac-Party/cac-PartyLegalEntity/cbc-CompanyID/schemeID/</t>
  </si>
  <si>
    <t>Seller additional legal information</t>
  </si>
  <si>
    <t>cbc:CompanyLegalForm</t>
  </si>
  <si>
    <t>ubl:Invoice/cac:AccountingSupplierParty/cac:Party/cac:PartyLegalEntity/cbc:CompanyLegalForm</t>
  </si>
  <si>
    <t>Additional legal information relevant for the Seller.</t>
  </si>
  <si>
    <t>Share capital</t>
  </si>
  <si>
    <t>https://docs.peppol.eu/poacc/billing/3.0/syntax/ubl-invoice/cac-AccountingSupplierParty/cac-Party/cac-PartyLegalEntity/cbc-CompanyLegalForm/</t>
  </si>
  <si>
    <t>SELLER CONTACT</t>
  </si>
  <si>
    <t>cac:Contact</t>
  </si>
  <si>
    <t>ubl:Invoice/cac:AccountingSupplierParty/cac:Party/cac:Contact</t>
  </si>
  <si>
    <t>A group of business terms providing contact information about the Seller.</t>
  </si>
  <si>
    <t>https://docs.peppol.eu/poacc/billing/3.0/syntax/ubl-invoice/cac-AccountingSupplierParty/cac-Party/cac-Contact/</t>
  </si>
  <si>
    <t>Seller contact point</t>
  </si>
  <si>
    <t>ubl:Invoice/cac:AccountingSupplierParty/cac:Party/cac:Contact/cbc:Name</t>
  </si>
  <si>
    <t>A contact point for a legal entity or person.</t>
  </si>
  <si>
    <t>xyz123</t>
  </si>
  <si>
    <t>https://docs.peppol.eu/poacc/billing/3.0/syntax/ubl-invoice/cac-AccountingSupplierParty/cac-Party/cac-Contact/cbc-Name/</t>
  </si>
  <si>
    <t>Seller contact telephone number</t>
  </si>
  <si>
    <t>cbc:Telephone</t>
  </si>
  <si>
    <t>ubl:Invoice/cac:AccountingSupplierParty/cac:Party/cac:Contact/cbc:Telephone</t>
  </si>
  <si>
    <t>A phone number for the contact point.</t>
  </si>
  <si>
    <t>887 654 321</t>
  </si>
  <si>
    <t>https://docs.peppol.eu/poacc/billing/3.0/syntax/ubl-invoice/cac-AccountingSupplierParty/cac-Party/cac-Contact/cbc-Telephone/</t>
  </si>
  <si>
    <t>Seller contact email address</t>
  </si>
  <si>
    <t>cbc:ElectronicMail</t>
  </si>
  <si>
    <t>ubl:Invoice/cac:AccountingSupplierParty/cac:Party/cac:Contact/cbc:ElectronicMail</t>
  </si>
  <si>
    <t>Valid electronic address format</t>
  </si>
  <si>
    <t>An e-mail address for the contact point.</t>
  </si>
  <si>
    <t>test.name@foo.bar</t>
  </si>
  <si>
    <t>https://docs.peppol.eu/poacc/billing/3.0/syntax/ubl-invoice/cac-AccountingSupplierParty/cac-Party/cac-Contact/cbc-ElectronicMail/</t>
  </si>
  <si>
    <t>Buyer</t>
  </si>
  <si>
    <t>BUYER</t>
  </si>
  <si>
    <t>cac:AccountingCustomerParty</t>
  </si>
  <si>
    <t>ubl:Invoice/cac:AccountingCustomerParty</t>
  </si>
  <si>
    <t>A group of business terms providing information about the Buyer.</t>
  </si>
  <si>
    <t>https://docs.peppol.eu/poacc/billing/3.0/syntax/ubl-invoice/cac-AccountingCustomerParty/</t>
  </si>
  <si>
    <t>ubl:Invoice/cac:AccountingCustomerParty/cac:Party</t>
  </si>
  <si>
    <t>https://docs.peppol.eu/poacc/billing/3.0/syntax/ubl-invoice/cac-AccountingCustomerParty/cac-Party/</t>
  </si>
  <si>
    <t>Buyer electronic address</t>
  </si>
  <si>
    <t>ubl:Invoice/cac:AccountingCustomerParty/cac:Party/cbc:EndpointID</t>
  </si>
  <si>
    <t>Identifies the Buyer's electronic address to which the invoice is delivered.</t>
  </si>
  <si>
    <t>https://docs.peppol.eu/poacc/billing/3.0/syntax/ubl-invoice/cac-AccountingCustomerParty/cac-Party/cbc-EndpointID/</t>
  </si>
  <si>
    <t>Buyer electronic address identification scheme identifier</t>
  </si>
  <si>
    <t>ubl:Invoice/cac:AccountingCustomerParty/cac:Party/cbc:EndpointID/@schemeID</t>
  </si>
  <si>
    <t>The identification scheme identifier of the Buyer electronic address.</t>
  </si>
  <si>
    <t>0192</t>
  </si>
  <si>
    <t>https://docs.peppol.eu/poacc/billing/3.0/syntax/ubl-invoice/cac-AccountingCustomerParty/cac-Party/cbc-EndpointID/schemeID/</t>
  </si>
  <si>
    <t>ubl:Invoice/cac:AccountingCustomerParty/cac:Party/cac:PartyIdentification</t>
  </si>
  <si>
    <t>https://docs.peppol.eu/poacc/billing/3.0/syntax/ubl-invoice/cac-AccountingCustomerParty/cac-Party/cac-PartyIdentification/</t>
  </si>
  <si>
    <t>Buyer identifier</t>
  </si>
  <si>
    <t>ubl:Invoice/cac:AccountingCustomerParty/cac:Party/cac:PartyIdentification/cbc:ID</t>
  </si>
  <si>
    <t>An identifier of the Buyer.</t>
  </si>
  <si>
    <t>SE8765456787</t>
  </si>
  <si>
    <t>https://docs.peppol.eu/poacc/billing/3.0/syntax/ubl-invoice/cac-AccountingCustomerParty/cac-Party/cac-PartyIdentification/cbc-ID/</t>
  </si>
  <si>
    <t>Buyer identifier identification scheme identifier</t>
  </si>
  <si>
    <t>ubl:Invoice/cac:AccountingCustomerParty/cac:Party/cac:PartyIdentification/cbc:ID/@schemeID</t>
  </si>
  <si>
    <t>The identification scheme identifier of the Buyer identifier.</t>
  </si>
  <si>
    <t>https://docs.peppol.eu/poacc/billing/3.0/syntax/ubl-invoice/cac-AccountingCustomerParty/cac-Party/cac-PartyIdentification/cbc-ID/schemeID/</t>
  </si>
  <si>
    <t>ubl:Invoice/cac:AccountingCustomerParty/cac:Party/cac:PartyName</t>
  </si>
  <si>
    <t>https://docs.peppol.eu/poacc/billing/3.0/syntax/ubl-invoice/cac-AccountingCustomerParty/cac-Party/cac-PartyName/</t>
  </si>
  <si>
    <t>Buyer trading name</t>
  </si>
  <si>
    <t>ubl:Invoice/cac:AccountingCustomerParty/cac:Party/cac:PartyName/cbc:Name</t>
  </si>
  <si>
    <t>A name by which the Buyer is known, other than Buyer name (also known as Business name).</t>
  </si>
  <si>
    <t>Buyer Trading Name</t>
  </si>
  <si>
    <t>https://docs.peppol.eu/poacc/billing/3.0/syntax/ubl-invoice/cac-AccountingCustomerParty/cac-Party/cac-PartyName/cbc-Name/</t>
  </si>
  <si>
    <t>BUYER POSTAL ADDRESS</t>
  </si>
  <si>
    <t>ubl:Invoice/cac:AccountingCustomerParty/cac:Party/cac:PostalAddress</t>
  </si>
  <si>
    <t>A group of business terms providing information about the postal address for the Buyer. Sufficient components of the address are to be filled to comply with legal requirements.</t>
  </si>
  <si>
    <t>https://docs.peppol.eu/poacc/billing/3.0/syntax/ubl-invoice/cac-AccountingCustomerParty/cac-Party/cac-PostalAddress/</t>
  </si>
  <si>
    <t>Buyer address line 1</t>
  </si>
  <si>
    <t>ubl:Invoice/cac:AccountingCustomerParty/cac:Party/cac:PostalAddress/cbc:StreetName</t>
  </si>
  <si>
    <t>Hovudgatan 32</t>
  </si>
  <si>
    <t>https://docs.peppol.eu/poacc/billing/3.0/syntax/ubl-invoice/cac-AccountingCustomerParty/cac-Party/cac-PostalAddress/cbc-StreetName/</t>
  </si>
  <si>
    <t>Buyer address line 2</t>
  </si>
  <si>
    <t>ubl:Invoice/cac:AccountingCustomerParty/cac:Party/cac:PostalAddress/cbc:AdditionalStreetName</t>
  </si>
  <si>
    <t>Po box 43</t>
  </si>
  <si>
    <t>https://docs.peppol.eu/poacc/billing/3.0/syntax/ubl-invoice/cac-AccountingCustomerParty/cac-Party/cac-PostalAddress/cbc-AdditionalStreetName/</t>
  </si>
  <si>
    <t>Buyer city</t>
  </si>
  <si>
    <t>ubl:Invoice/cac:AccountingCustomerParty/cac:Party/cac:PostalAddress/cbc:CityName</t>
  </si>
  <si>
    <t>The common name of the city, town or village, where the Buyer's address is located.</t>
  </si>
  <si>
    <t>Stockholm</t>
  </si>
  <si>
    <t>https://docs.peppol.eu/poacc/billing/3.0/syntax/ubl-invoice/cac-AccountingCustomerParty/cac-Party/cac-PostalAddress/cbc-CityName/</t>
  </si>
  <si>
    <t>Buyer post code</t>
  </si>
  <si>
    <t>ubl:Invoice/cac:AccountingCustomerParty/cac:Party/cac:PostalAddress/cbc:PostalZone</t>
  </si>
  <si>
    <t>34567</t>
  </si>
  <si>
    <t>https://docs.peppol.eu/poacc/billing/3.0/syntax/ubl-invoice/cac-AccountingCustomerParty/cac-Party/cac-PostalAddress/cbc-PostalZone/</t>
  </si>
  <si>
    <t>Buyer country subdivision</t>
  </si>
  <si>
    <t>ubl:Invoice/cac:AccountingCustomerParty/cac:Party/cac:PostalAddress/cbc:CountrySubentity</t>
  </si>
  <si>
    <t>https://docs.peppol.eu/poacc/billing/3.0/syntax/ubl-invoice/cac-AccountingCustomerParty/cac-Party/cac-PostalAddress/cbc-CountrySubentity/</t>
  </si>
  <si>
    <t>ubl:Invoice/cac:AccountingCustomerParty/cac:Party/cac:PostalAddress/cac:AddressLine</t>
  </si>
  <si>
    <t>https://docs.peppol.eu/poacc/billing/3.0/syntax/ubl-invoice/cac-AccountingCustomerParty/cac-Party/cac-PostalAddress/cac-AddressLine/</t>
  </si>
  <si>
    <t>Buyer address line 3</t>
  </si>
  <si>
    <t>ubl:Invoice/cac:AccountingCustomerParty/cac:Party/cac:PostalAddress/cac:AddressLine/cbc:Line</t>
  </si>
  <si>
    <t>Building F2</t>
  </si>
  <si>
    <t>https://docs.peppol.eu/poacc/billing/3.0/syntax/ubl-invoice/cac-AccountingCustomerParty/cac-Party/cac-PostalAddress/cac-AddressLine/cbc-Line/</t>
  </si>
  <si>
    <t>ubl:Invoice/cac:AccountingCustomerParty/cac:Party/cac:PostalAddress/cac:Country</t>
  </si>
  <si>
    <t>https://docs.peppol.eu/poacc/billing/3.0/syntax/ubl-invoice/cac-AccountingCustomerParty/cac-Party/cac-PostalAddress/cac-Country/</t>
  </si>
  <si>
    <t>Buyer country code</t>
  </si>
  <si>
    <t>ubl:Invoice/cac:AccountingCustomerParty/cac:Party/cac:PostalAddress/cac:Country/cbc:IdentificationCode</t>
  </si>
  <si>
    <t>SE</t>
  </si>
  <si>
    <t>https://docs.peppol.eu/poacc/billing/3.0/syntax/ubl-invoice/cac-AccountingCustomerParty/cac-Party/cac-PostalAddress/cac-Country/cbc-IdentificationCode/</t>
  </si>
  <si>
    <t>PARTY VAT IDENTIFIER</t>
  </si>
  <si>
    <t>ubl:Invoice/cac:AccountingCustomerParty/cac:Party/cac:PartyTaxScheme</t>
  </si>
  <si>
    <t>https://docs.peppol.eu/poacc/billing/3.0/syntax/ubl-invoice/cac-AccountingCustomerParty/cac-Party/cac-PartyTaxScheme/</t>
  </si>
  <si>
    <t>Buyer VAT identifier</t>
  </si>
  <si>
    <t>ubl:Invoice/cac:AccountingCustomerParty/cac:Party/cac:PartyTaxScheme/cbc:CompanyID</t>
  </si>
  <si>
    <t>The Buyer's VAT identifier (also known as Buyer VAT identification number).</t>
  </si>
  <si>
    <t>https://docs.peppol.eu/poacc/billing/3.0/syntax/ubl-invoice/cac-AccountingCustomerParty/cac-Party/cac-PartyTaxScheme/cbc-CompanyID/</t>
  </si>
  <si>
    <t>ubl:Invoice/cac:AccountingCustomerParty/cac:Party/cac:PartyTaxScheme/cac:TaxScheme</t>
  </si>
  <si>
    <t>https://docs.peppol.eu/poacc/billing/3.0/syntax/ubl-invoice/cac-AccountingCustomerParty/cac-Party/cac-PartyTaxScheme/cac-TaxScheme/</t>
  </si>
  <si>
    <t>ubl:Invoice/cac:AccountingCustomerParty/cac:Party/cac:PartyTaxScheme/cac:TaxScheme/cbc:ID</t>
  </si>
  <si>
    <t>Fixed/default Peppol value: VAT</t>
  </si>
  <si>
    <t>Mandatory element. Use “VAT”</t>
  </si>
  <si>
    <t>https://docs.peppol.eu/poacc/billing/3.0/syntax/ubl-invoice/cac-AccountingCustomerParty/cac-Party/cac-PartyTaxScheme/cac-TaxScheme/cbc-ID/</t>
  </si>
  <si>
    <t>ubl:Invoice/cac:AccountingCustomerParty/cac:Party/cac:PartyLegalEntity</t>
  </si>
  <si>
    <t>https://docs.peppol.eu/poacc/billing/3.0/syntax/ubl-invoice/cac-AccountingCustomerParty/cac-Party/cac-PartyLegalEntity/</t>
  </si>
  <si>
    <t>Buyer name</t>
  </si>
  <si>
    <t>ubl:Invoice/cac:AccountingCustomerParty/cac:Party/cac:PartyLegalEntity/cbc:RegistrationName</t>
  </si>
  <si>
    <t>The full name of the Buyer.</t>
  </si>
  <si>
    <t>Buyer Full Name AS</t>
  </si>
  <si>
    <t>https://docs.peppol.eu/poacc/billing/3.0/syntax/ubl-invoice/cac-AccountingCustomerParty/cac-Party/cac-PartyLegalEntity/cbc-RegistrationName/</t>
  </si>
  <si>
    <t>Buyer legal registration identifier</t>
  </si>
  <si>
    <t>ubl:Invoice/cac:AccountingCustomerParty/cac:Party/cac:PartyLegalEntity/cbc:CompanyID</t>
  </si>
  <si>
    <t>An identifier issued by an official registrar that identifies the Buyer as a legal entity or person.</t>
  </si>
  <si>
    <t>5560104525</t>
  </si>
  <si>
    <t>https://docs.peppol.eu/poacc/billing/3.0/syntax/ubl-invoice/cac-AccountingCustomerParty/cac-Party/cac-PartyLegalEntity/cbc-CompanyID/</t>
  </si>
  <si>
    <t>Buyer legal registration identifier identification scheme identifier</t>
  </si>
  <si>
    <t>ubl:Invoice/cac:AccountingCustomerParty/cac:Party/cac:PartyLegalEntity/cbc:CompanyID/@schemeID</t>
  </si>
  <si>
    <t>The identification scheme identifier of the Buyer legal registration identifier.</t>
  </si>
  <si>
    <t>0007</t>
  </si>
  <si>
    <t>https://docs.peppol.eu/poacc/billing/3.0/syntax/ubl-invoice/cac-AccountingCustomerParty/cac-Party/cac-PartyLegalEntity/cbc-CompanyID/schemeID/</t>
  </si>
  <si>
    <t>BUYER CONTACT</t>
  </si>
  <si>
    <t>ubl:Invoice/cac:AccountingCustomerParty/cac:Party/cac:Contact</t>
  </si>
  <si>
    <t>A group of business terms providing contact information relevant for the Buyer.</t>
  </si>
  <si>
    <t>https://docs.peppol.eu/poacc/billing/3.0/syntax/ubl-invoice/cac-AccountingCustomerParty/cac-Party/cac-Contact/</t>
  </si>
  <si>
    <t>Buyer contact point</t>
  </si>
  <si>
    <t>ubl:Invoice/cac:AccountingCustomerParty/cac:Party/cac:Contact/cbc:Name</t>
  </si>
  <si>
    <t>Jens Jensen</t>
  </si>
  <si>
    <t>https://docs.peppol.eu/poacc/billing/3.0/syntax/ubl-invoice/cac-AccountingCustomerParty/cac-Party/cac-Contact/cbc-Name/</t>
  </si>
  <si>
    <t>Buyer contact telephone number</t>
  </si>
  <si>
    <t>ubl:Invoice/cac:AccountingCustomerParty/cac:Party/cac:Contact/cbc:Telephone</t>
  </si>
  <si>
    <t>876 654 321</t>
  </si>
  <si>
    <t>https://docs.peppol.eu/poacc/billing/3.0/syntax/ubl-invoice/cac-AccountingCustomerParty/cac-Party/cac-Contact/cbc-Telephone/</t>
  </si>
  <si>
    <t>Buyer contact email address</t>
  </si>
  <si>
    <t>ubl:Invoice/cac:AccountingCustomerParty/cac:Party/cac:Contact/cbc:ElectronicMail</t>
  </si>
  <si>
    <t>jens.j@buyer.se</t>
  </si>
  <si>
    <t>https://docs.peppol.eu/poacc/billing/3.0/syntax/ubl-invoice/cac-AccountingCustomerParty/cac-Party/cac-Contact/cbc-ElectronicMail/</t>
  </si>
  <si>
    <t>Payee</t>
  </si>
  <si>
    <t>PAYEE</t>
  </si>
  <si>
    <t>cac:PayeeParty</t>
  </si>
  <si>
    <t>ubl:Invoice/cac:PayeeParty</t>
  </si>
  <si>
    <t>A group of business terms providing information about the Payee, i.e. the role that receives the payment. Shall be used when the Payee is different from the Seller.</t>
  </si>
  <si>
    <t>https://docs.peppol.eu/poacc/billing/3.0/syntax/ubl-invoice/cac-PayeeParty/</t>
  </si>
  <si>
    <t>ubl:Invoice/cac:PayeeParty/cac:PartyIdentification</t>
  </si>
  <si>
    <t>https://docs.peppol.eu/poacc/billing/3.0/syntax/ubl-invoice/cac-PayeeParty/cac-PartyIdentification/</t>
  </si>
  <si>
    <t>Payee identifier or bank assigned creditor identifier</t>
  </si>
  <si>
    <t>ubl:Invoice/cac:PayeeParty/cac:PartyIdentification/cbc:ID</t>
  </si>
  <si>
    <t>This element is used for both the identification of the Payee, or the unique banking reference identifier of Payee (assigned by the Payee bank.) For payee identification use ICD code list, for SEPA bank assigned creditor reference, use SEPA.</t>
  </si>
  <si>
    <t>FR932874294</t>
  </si>
  <si>
    <t>https://docs.peppol.eu/poacc/billing/3.0/syntax/ubl-invoice/cac-PayeeParty/cac-PartyIdentification/cbc-ID/</t>
  </si>
  <si>
    <t>Payee or bank assigned creditor identifier identification scheme identifier</t>
  </si>
  <si>
    <t>ubl:Invoice/cac:PayeeParty/cac:PartyIdentification/cbc:ID/@schemeID</t>
  </si>
  <si>
    <t>The identification scheme identifier of the payee identifier. For bank assigned creditor identifier (BT-90), value MUST be "SEPA"</t>
  </si>
  <si>
    <t>SEPA</t>
  </si>
  <si>
    <t>https://docs.peppol.eu/poacc/billing/3.0/syntax/ubl-invoice/cac-PayeeParty/cac-PartyIdentification/cbc-ID/schemeID/</t>
  </si>
  <si>
    <t>ubl:Invoice/cac:PayeeParty/cac:PartyName</t>
  </si>
  <si>
    <t>https://docs.peppol.eu/poacc/billing/3.0/syntax/ubl-invoice/cac-PayeeParty/cac-PartyName/</t>
  </si>
  <si>
    <t>Payee name</t>
  </si>
  <si>
    <t>ubl:Invoice/cac:PayeeParty/cac:PartyName/cbc:Name</t>
  </si>
  <si>
    <t>The name of the Payee.</t>
  </si>
  <si>
    <t>Payee Name Ltd</t>
  </si>
  <si>
    <t>https://docs.peppol.eu/poacc/billing/3.0/syntax/ubl-invoice/cac-PayeeParty/cac-PartyName/cbc-Name/</t>
  </si>
  <si>
    <t>ubl:Invoice/cac:PayeeParty/cac:PartyLegalEntity</t>
  </si>
  <si>
    <t>https://docs.peppol.eu/poacc/billing/3.0/syntax/ubl-invoice/cac-PayeeParty/cac-PartyLegalEntity/</t>
  </si>
  <si>
    <t>Payee legal registration identifier</t>
  </si>
  <si>
    <t>ubl:Invoice/cac:PayeeParty/cac:PartyLegalEntity/cbc:CompanyID</t>
  </si>
  <si>
    <t>An identifier issued by an official registrar that identifies the Payee as a legal entity or person.</t>
  </si>
  <si>
    <t>https://docs.peppol.eu/poacc/billing/3.0/syntax/ubl-invoice/cac-PayeeParty/cac-PartyLegalEntity/cbc-CompanyID/</t>
  </si>
  <si>
    <t>Payee legal registration identifier identification scheme identifier</t>
  </si>
  <si>
    <t>ubl:Invoice/cac:PayeeParty/cac:PartyLegalEntity/cbc:CompanyID/@schemeID</t>
  </si>
  <si>
    <t>The identification scheme identifier of the Payee legal registration identifier.</t>
  </si>
  <si>
    <t>https://docs.peppol.eu/poacc/billing/3.0/syntax/ubl-invoice/cac-PayeeParty/cac-PartyLegalEntity/cbc-CompanyID/schemeID/</t>
  </si>
  <si>
    <t>Seller tax representative</t>
  </si>
  <si>
    <t>SELLER TAX REPRESENTATIVE PARTY</t>
  </si>
  <si>
    <t>cac:TaxRepresentativeParty</t>
  </si>
  <si>
    <t>ubl:Invoice/cac:TaxRepresentativeParty</t>
  </si>
  <si>
    <t>A group of business terms providing information about the Seller's tax representative.</t>
  </si>
  <si>
    <t>https://docs.peppol.eu/poacc/billing/3.0/syntax/ubl-invoice/cac-TaxRepresentativeParty/</t>
  </si>
  <si>
    <t>ubl:Invoice/cac:TaxRepresentativeParty/cac:PartyName</t>
  </si>
  <si>
    <t>https://docs.peppol.eu/poacc/billing/3.0/syntax/ubl-invoice/cac-TaxRepresentativeParty/cac-PartyName/</t>
  </si>
  <si>
    <t>Seller tax representative name</t>
  </si>
  <si>
    <t>ubl:Invoice/cac:TaxRepresentativeParty/cac:PartyName/cbc:Name</t>
  </si>
  <si>
    <t>The full name of the Seller's tax representative party.</t>
  </si>
  <si>
    <t>Tax Representative Name AS</t>
  </si>
  <si>
    <t>https://docs.peppol.eu/poacc/billing/3.0/syntax/ubl-invoice/cac-TaxRepresentativeParty/cac-PartyName/cbc-Name/</t>
  </si>
  <si>
    <t>SELLER TAX REPRESENTATIVE POSTAL ADDRESS</t>
  </si>
  <si>
    <t>ubl:Invoice/cac:TaxRepresentativeParty/cac:PostalAddress</t>
  </si>
  <si>
    <t>A group of business terms providing information about the postal address for the tax representative party. Sufficient components of the address are to be filled to comply with legal requirements.</t>
  </si>
  <si>
    <t>https://docs.peppol.eu/poacc/billing/3.0/syntax/ubl-invoice/cac-TaxRepresentativeParty/cac-PostalAddress/</t>
  </si>
  <si>
    <t>Tax representative address line 1</t>
  </si>
  <si>
    <t>ubl:Invoice/cac:TaxRepresentativeParty/cac:PostalAddress/cbc:StreetName</t>
  </si>
  <si>
    <t>Lille gatan 545</t>
  </si>
  <si>
    <t>https://docs.peppol.eu/poacc/billing/3.0/syntax/ubl-invoice/cac-TaxRepresentativeParty/cac-PostalAddress/cbc-StreetName/</t>
  </si>
  <si>
    <t>Tax representative address line 2</t>
  </si>
  <si>
    <t>ubl:Invoice/cac:TaxRepresentativeParty/cac:PostalAddress/cbc:AdditionalStreetName</t>
  </si>
  <si>
    <t>Po Box 987</t>
  </si>
  <si>
    <t>https://docs.peppol.eu/poacc/billing/3.0/syntax/ubl-invoice/cac-TaxRepresentativeParty/cac-PostalAddress/cbc-AdditionalStreetName/</t>
  </si>
  <si>
    <t>Tax representative city</t>
  </si>
  <si>
    <t>ubl:Invoice/cac:TaxRepresentativeParty/cac:PostalAddress/cbc:CityName</t>
  </si>
  <si>
    <t>The common name of the city, town or village, where the tax representative address is located.</t>
  </si>
  <si>
    <t>Göteborg</t>
  </si>
  <si>
    <t>https://docs.peppol.eu/poacc/billing/3.0/syntax/ubl-invoice/cac-TaxRepresentativeParty/cac-PostalAddress/cbc-CityName/</t>
  </si>
  <si>
    <t>Tax representative post code</t>
  </si>
  <si>
    <t>ubl:Invoice/cac:TaxRepresentativeParty/cac:PostalAddress/cbc:PostalZone</t>
  </si>
  <si>
    <t>12345</t>
  </si>
  <si>
    <t>https://docs.peppol.eu/poacc/billing/3.0/syntax/ubl-invoice/cac-TaxRepresentativeParty/cac-PostalAddress/cbc-PostalZone/</t>
  </si>
  <si>
    <t>Tax representative country subdivision</t>
  </si>
  <si>
    <t>ubl:Invoice/cac:TaxRepresentativeParty/cac:PostalAddress/cbc:CountrySubentity</t>
  </si>
  <si>
    <t>Region Vest</t>
  </si>
  <si>
    <t>https://docs.peppol.eu/poacc/billing/3.0/syntax/ubl-invoice/cac-TaxRepresentativeParty/cac-PostalAddress/cbc-CountrySubentity/</t>
  </si>
  <si>
    <t>ubl:Invoice/cac:TaxRepresentativeParty/cac:PostalAddress/cac:AddressLine</t>
  </si>
  <si>
    <t>https://docs.peppol.eu/poacc/billing/3.0/syntax/ubl-invoice/cac-TaxRepresentativeParty/cac-PostalAddress/cac-AddressLine/</t>
  </si>
  <si>
    <t>Tax representative address line 3</t>
  </si>
  <si>
    <t>ubl:Invoice/cac:TaxRepresentativeParty/cac:PostalAddress/cac:AddressLine/cbc:Line</t>
  </si>
  <si>
    <t>A87</t>
  </si>
  <si>
    <t>https://docs.peppol.eu/poacc/billing/3.0/syntax/ubl-invoice/cac-TaxRepresentativeParty/cac-PostalAddress/cac-AddressLine/cbc-Line/</t>
  </si>
  <si>
    <t>ubl:Invoice/cac:TaxRepresentativeParty/cac:PostalAddress/cac:Country</t>
  </si>
  <si>
    <t>https://docs.peppol.eu/poacc/billing/3.0/syntax/ubl-invoice/cac-TaxRepresentativeParty/cac-PostalAddress/cac-Country/</t>
  </si>
  <si>
    <t>Tax representative country code</t>
  </si>
  <si>
    <t>ubl:Invoice/cac:TaxRepresentativeParty/cac:PostalAddress/cac:Country/cbc:IdentificationCode</t>
  </si>
  <si>
    <t>https://docs.peppol.eu/poacc/billing/3.0/syntax/ubl-invoice/cac-TaxRepresentativeParty/cac-PostalAddress/cac-Country/cbc-IdentificationCode/</t>
  </si>
  <si>
    <t>ubl:Invoice/cac:TaxRepresentativeParty/cac:PartyTaxScheme</t>
  </si>
  <si>
    <t>https://docs.peppol.eu/poacc/billing/3.0/syntax/ubl-invoice/cac-TaxRepresentativeParty/cac-PartyTaxScheme/</t>
  </si>
  <si>
    <t>Seller tax representative VAT identifier</t>
  </si>
  <si>
    <t>ubl:Invoice/cac:TaxRepresentativeParty/cac:PartyTaxScheme/cbc:CompanyID</t>
  </si>
  <si>
    <t>The VAT identifier of the Seller's tax representative party.</t>
  </si>
  <si>
    <t>https://docs.peppol.eu/poacc/billing/3.0/syntax/ubl-invoice/cac-TaxRepresentativeParty/cac-PartyTaxScheme/cbc-CompanyID/</t>
  </si>
  <si>
    <t>ubl:Invoice/cac:TaxRepresentativeParty/cac:PartyTaxScheme/cac:TaxScheme</t>
  </si>
  <si>
    <t>https://docs.peppol.eu/poacc/billing/3.0/syntax/ubl-invoice/cac-TaxRepresentativeParty/cac-PartyTaxScheme/cac-TaxScheme/</t>
  </si>
  <si>
    <t>ubl:Invoice/cac:TaxRepresentativeParty/cac:PartyTaxScheme/cac:TaxScheme/cbc:ID</t>
  </si>
  <si>
    <t>https://docs.peppol.eu/poacc/billing/3.0/syntax/ubl-invoice/cac-TaxRepresentativeParty/cac-PartyTaxScheme/cac-TaxScheme/cbc-ID/</t>
  </si>
  <si>
    <t>Delivery</t>
  </si>
  <si>
    <t>DELIVERY INFORMATION</t>
  </si>
  <si>
    <t>cac:Delivery</t>
  </si>
  <si>
    <t>ubl:Invoice/cac:Delivery</t>
  </si>
  <si>
    <t>A group of business terms providing information about where and when the goods and services invoiced are delivered.</t>
  </si>
  <si>
    <t>https://docs.peppol.eu/poacc/billing/3.0/syntax/ubl-invoice/cac-Delivery/</t>
  </si>
  <si>
    <t>Actual delivery date</t>
  </si>
  <si>
    <t>cbc:ActualDeliveryDate</t>
  </si>
  <si>
    <t>ubl:Invoice/cac:Delivery/cbc:ActualDeliveryDate</t>
  </si>
  <si>
    <t>The date on which the supply of goods or services was made or completed. Format = "YYYY-MM-DD"</t>
  </si>
  <si>
    <t>2017-12-01</t>
  </si>
  <si>
    <t>https://docs.peppol.eu/poacc/billing/3.0/syntax/ubl-invoice/cac-Delivery/cbc-ActualDeliveryDate/</t>
  </si>
  <si>
    <t>cac:DeliveryLocation</t>
  </si>
  <si>
    <t>ubl:Invoice/cac:Delivery/cac:DeliveryLocation</t>
  </si>
  <si>
    <t>https://docs.peppol.eu/poacc/billing/3.0/syntax/ubl-invoice/cac-Delivery/cac-DeliveryLocation/</t>
  </si>
  <si>
    <t>Deliver to location identifier</t>
  </si>
  <si>
    <t>ubl:Invoice/cac:Delivery/cac:DeliveryLocation/cbc:ID</t>
  </si>
  <si>
    <t>An identifier for the location at which the goods and services are delivered.</t>
  </si>
  <si>
    <t>83745498753497</t>
  </si>
  <si>
    <t>https://docs.peppol.eu/poacc/billing/3.0/syntax/ubl-invoice/cac-Delivery/cac-DeliveryLocation/cbc-ID/</t>
  </si>
  <si>
    <t>Deliver to location identifier identification scheme identifier</t>
  </si>
  <si>
    <t>ubl:Invoice/cac:Delivery/cac:DeliveryLocation/cbc:ID/@schemeID</t>
  </si>
  <si>
    <t>The identification scheme identifier of the Deliver to location identifier.</t>
  </si>
  <si>
    <t>https://docs.peppol.eu/poacc/billing/3.0/syntax/ubl-invoice/cac-Delivery/cac-DeliveryLocation/cbc-ID/schemeID/</t>
  </si>
  <si>
    <t>DELIVER TO ADDRESS</t>
  </si>
  <si>
    <t>cac:Address</t>
  </si>
  <si>
    <t>ubl:Invoice/cac:Delivery/cac:DeliveryLocation/cac:Address</t>
  </si>
  <si>
    <t>A group of business terms providing information about the address to which goods and services invoiced were or are delivered.</t>
  </si>
  <si>
    <t>https://docs.peppol.eu/poacc/billing/3.0/syntax/ubl-invoice/cac-Delivery/cac-DeliveryLocation/cac-Address/</t>
  </si>
  <si>
    <t>Deliver to address line 1</t>
  </si>
  <si>
    <t>ubl:Invoice/cac:Delivery/cac:DeliveryLocation/cac:Address/cbc:StreetName</t>
  </si>
  <si>
    <t>Delivery Street 1</t>
  </si>
  <si>
    <t>https://docs.peppol.eu/poacc/billing/3.0/syntax/ubl-invoice/cac-Delivery/cac-DeliveryLocation/cac-Address/cbc-StreetName/</t>
  </si>
  <si>
    <t>Deliver to address line 2</t>
  </si>
  <si>
    <t>ubl:Invoice/cac:Delivery/cac:DeliveryLocation/cac:Address/cbc:AdditionalStreetName</t>
  </si>
  <si>
    <t>Delivery Street 2</t>
  </si>
  <si>
    <t>https://docs.peppol.eu/poacc/billing/3.0/syntax/ubl-invoice/cac-Delivery/cac-DeliveryLocation/cac-Address/cbc-AdditionalStreetName/</t>
  </si>
  <si>
    <t>Deliver to city</t>
  </si>
  <si>
    <t>ubl:Invoice/cac:Delivery/cac:DeliveryLocation/cac:Address/cbc:CityName</t>
  </si>
  <si>
    <t>The common name of the city, town or village, where the deliver to address is located.</t>
  </si>
  <si>
    <t>Malmö</t>
  </si>
  <si>
    <t>https://docs.peppol.eu/poacc/billing/3.0/syntax/ubl-invoice/cac-Delivery/cac-DeliveryLocation/cac-Address/cbc-CityName/</t>
  </si>
  <si>
    <t>Deliver to post code</t>
  </si>
  <si>
    <t>ubl:Invoice/cac:Delivery/cac:DeliveryLocation/cac:Address/cbc:PostalZone</t>
  </si>
  <si>
    <t>86756</t>
  </si>
  <si>
    <t>https://docs.peppol.eu/poacc/billing/3.0/syntax/ubl-invoice/cac-Delivery/cac-DeliveryLocation/cac-Address/cbc-PostalZone/</t>
  </si>
  <si>
    <t>Deliver to country subdivision</t>
  </si>
  <si>
    <t>ubl:Invoice/cac:Delivery/cac:DeliveryLocation/cac:Address/cbc:CountrySubentity</t>
  </si>
  <si>
    <t>South Region</t>
  </si>
  <si>
    <t>https://docs.peppol.eu/poacc/billing/3.0/syntax/ubl-invoice/cac-Delivery/cac-DeliveryLocation/cac-Address/cbc-CountrySubentity/</t>
  </si>
  <si>
    <t>ubl:Invoice/cac:Delivery/cac:DeliveryLocation/cac:Address/cac:AddressLine</t>
  </si>
  <si>
    <t>https://docs.peppol.eu/poacc/billing/3.0/syntax/ubl-invoice/cac-Delivery/cac-DeliveryLocation/cac-Address/cac-AddressLine/</t>
  </si>
  <si>
    <t>Deliver to address line 3</t>
  </si>
  <si>
    <t>ubl:Invoice/cac:Delivery/cac:DeliveryLocation/cac:Address/cac:AddressLine/cbc:Line</t>
  </si>
  <si>
    <t>C54</t>
  </si>
  <si>
    <t>https://docs.peppol.eu/poacc/billing/3.0/syntax/ubl-invoice/cac-Delivery/cac-DeliveryLocation/cac-Address/cac-AddressLine/cbc-Line/</t>
  </si>
  <si>
    <t>ubl:Invoice/cac:Delivery/cac:DeliveryLocation/cac:Address/cac:Country</t>
  </si>
  <si>
    <t>https://docs.peppol.eu/poacc/billing/3.0/syntax/ubl-invoice/cac-Delivery/cac-DeliveryLocation/cac-Address/cac-Country/</t>
  </si>
  <si>
    <t>Deliver to country code</t>
  </si>
  <si>
    <t>ubl:Invoice/cac:Delivery/cac:DeliveryLocation/cac:Address/cac:Country/cbc:IdentificationCode</t>
  </si>
  <si>
    <t>https://docs.peppol.eu/poacc/billing/3.0/syntax/ubl-invoice/cac-Delivery/cac-DeliveryLocation/cac-Address/cac-Country/cbc-IdentificationCode/</t>
  </si>
  <si>
    <t>DELIVER PARTY</t>
  </si>
  <si>
    <t>cac:DeliveryParty</t>
  </si>
  <si>
    <t>ubl:Invoice/cac:Delivery/cac:DeliveryParty</t>
  </si>
  <si>
    <t>https://docs.peppol.eu/poacc/billing/3.0/syntax/ubl-invoice/cac-Delivery/cac-DeliveryParty/</t>
  </si>
  <si>
    <t>ubl:Invoice/cac:Delivery/cac:DeliveryParty/cac:PartyName</t>
  </si>
  <si>
    <t>https://docs.peppol.eu/poacc/billing/3.0/syntax/ubl-invoice/cac-Delivery/cac-DeliveryParty/cac-PartyName/</t>
  </si>
  <si>
    <t>Deliver to party name</t>
  </si>
  <si>
    <t>ubl:Invoice/cac:Delivery/cac:DeliveryParty/cac:PartyName/cbc:Name</t>
  </si>
  <si>
    <t>The name of the party to which the goods and services are delivered.</t>
  </si>
  <si>
    <t>Deliver name</t>
  </si>
  <si>
    <t>https://docs.peppol.eu/poacc/billing/3.0/syntax/ubl-invoice/cac-Delivery/cac-DeliveryParty/cac-PartyName/cbc-Name/</t>
  </si>
  <si>
    <t>Payment</t>
  </si>
  <si>
    <t>PAYMENT INSTRUCTIONS</t>
  </si>
  <si>
    <t>cac:PaymentMeans</t>
  </si>
  <si>
    <t>ubl:Invoice/cac:PaymentMeans</t>
  </si>
  <si>
    <t>A group of business terms providing information about the payment.</t>
  </si>
  <si>
    <t>https://docs.peppol.eu/poacc/billing/3.0/syntax/ubl-invoice/cac-PaymentMeans/</t>
  </si>
  <si>
    <t>Payment means type code</t>
  </si>
  <si>
    <t>cbc:PaymentMeansCode</t>
  </si>
  <si>
    <t>ubl:Invoice/cac:PaymentMeans/cbc:PaymentMeansCode</t>
  </si>
  <si>
    <t>The means, expressed as code, for how a payment is expected to be or has been settled.</t>
  </si>
  <si>
    <t>30</t>
  </si>
  <si>
    <t>https://docs.peppol.eu/poacc/billing/3.0/syntax/ubl-invoice/cac-PaymentMeans/cbc-PaymentMeansCode/</t>
  </si>
  <si>
    <t>Payment means text</t>
  </si>
  <si>
    <t>@name</t>
  </si>
  <si>
    <t>ubl:Invoice/cac:PaymentMeans/cbc:PaymentMeansCode/@name</t>
  </si>
  <si>
    <t>The means, expressed as text, for how a payment is expected to be or has been settled.</t>
  </si>
  <si>
    <t>Credit transfer</t>
  </si>
  <si>
    <t>https://docs.peppol.eu/poacc/billing/3.0/syntax/ubl-invoice/cac-PaymentMeans/cbc-PaymentMeansCode/name/</t>
  </si>
  <si>
    <t>Remittance information</t>
  </si>
  <si>
    <t>cbc:PaymentID</t>
  </si>
  <si>
    <t>ubl:Invoice/cac:PaymentMeans/cbc:PaymentID</t>
  </si>
  <si>
    <t>A textual value used to establish a link between the payment and the Invoice, issued by the Seller. Used for creditor's critical reconciliation information. This information element helps the Seller to assign an incoming payment to the relevant payment process.</t>
  </si>
  <si>
    <t>432948234234234</t>
  </si>
  <si>
    <t>https://docs.peppol.eu/poacc/billing/3.0/syntax/ubl-invoice/cac-PaymentMeans/cbc-PaymentID/</t>
  </si>
  <si>
    <t>PAYMENT CARD INFORMATION</t>
  </si>
  <si>
    <t>cac:CardAccount</t>
  </si>
  <si>
    <t>ubl:Invoice/cac:PaymentMeans/cac:CardAccount</t>
  </si>
  <si>
    <t>A group of business terms providing information about card used for payment contemporaneous with invoice issuance.</t>
  </si>
  <si>
    <t>https://docs.peppol.eu/poacc/billing/3.0/syntax/ubl-invoice/cac-PaymentMeans/cac-CardAccount/</t>
  </si>
  <si>
    <t>Payment card primary account number</t>
  </si>
  <si>
    <t>cbc:PrimaryAccountNumberID</t>
  </si>
  <si>
    <t>ubl:Invoice/cac:PaymentMeans/cac:CardAccount/cbc:PrimaryAccountNumberID</t>
  </si>
  <si>
    <t>The Primary Account Number (PAN) of the card used for payment.In accordance with card payments security standards, an invoice should never include a full card primary account number.</t>
  </si>
  <si>
    <t>1234</t>
  </si>
  <si>
    <t>https://docs.peppol.eu/poacc/billing/3.0/syntax/ubl-invoice/cac-PaymentMeans/cac-CardAccount/cbc-PrimaryAccountNumberID/</t>
  </si>
  <si>
    <t>cbc:NetworkID</t>
  </si>
  <si>
    <t>ubl:Invoice/cac:PaymentMeans/cac:CardAccount/cbc:NetworkID</t>
  </si>
  <si>
    <t>Syntax required element not related to a business term.</t>
  </si>
  <si>
    <t>NA</t>
  </si>
  <si>
    <t>https://docs.peppol.eu/poacc/billing/3.0/syntax/ubl-invoice/cac-PaymentMeans/cac-CardAccount/cbc-NetworkID/</t>
  </si>
  <si>
    <t>Payment card holder name</t>
  </si>
  <si>
    <t>cbc:HolderName</t>
  </si>
  <si>
    <t>ubl:Invoice/cac:PaymentMeans/cac:CardAccount/cbc:HolderName</t>
  </si>
  <si>
    <t>The name of the payment card holder.</t>
  </si>
  <si>
    <t>John Doe</t>
  </si>
  <si>
    <t>https://docs.peppol.eu/poacc/billing/3.0/syntax/ubl-invoice/cac-PaymentMeans/cac-CardAccount/cbc-HolderName/</t>
  </si>
  <si>
    <t>CREDIT TRANSFER</t>
  </si>
  <si>
    <t>cac:PayeeFinancialAccount</t>
  </si>
  <si>
    <t>ubl:Invoice/cac:PaymentMeans/cac:PayeeFinancialAccount</t>
  </si>
  <si>
    <t>A group of business terms to specify credit transfer payments.</t>
  </si>
  <si>
    <t>https://docs.peppol.eu/poacc/billing/3.0/syntax/ubl-invoice/cac-PaymentMeans/cac-PayeeFinancialAccount/</t>
  </si>
  <si>
    <t>Payment account identifier</t>
  </si>
  <si>
    <t>ubl:Invoice/cac:PaymentMeans/cac:PayeeFinancialAccount/cbc:ID</t>
  </si>
  <si>
    <t>A unique identifier of the financial payment account, at a payment service provider, to which payment should be made. Such as IBAN or BBAN.</t>
  </si>
  <si>
    <t>NO99991122222</t>
  </si>
  <si>
    <t>https://docs.peppol.eu/poacc/billing/3.0/syntax/ubl-invoice/cac-PaymentMeans/cac-PayeeFinancialAccount/cbc-ID/</t>
  </si>
  <si>
    <t>Payment account name</t>
  </si>
  <si>
    <t>ubl:Invoice/cac:PaymentMeans/cac:PayeeFinancialAccount/cbc:Name</t>
  </si>
  <si>
    <t>The name of the payment account, at a payment service provider, to which payment should be made.</t>
  </si>
  <si>
    <t>Payment Account</t>
  </si>
  <si>
    <t>https://docs.peppol.eu/poacc/billing/3.0/syntax/ubl-invoice/cac-PaymentMeans/cac-PayeeFinancialAccount/cbc-Name/</t>
  </si>
  <si>
    <t>FINANCIAL INSTITUTION BRANCH</t>
  </si>
  <si>
    <t>cac:FinancialInstitutionBranch</t>
  </si>
  <si>
    <t>ubl:Invoice/cac:PaymentMeans/cac:PayeeFinancialAccount/cac:FinancialInstitutionBranch</t>
  </si>
  <si>
    <t>https://docs.peppol.eu/poacc/billing/3.0/syntax/ubl-invoice/cac-PaymentMeans/cac-PayeeFinancialAccount/cac-FinancialInstitutionBranch/</t>
  </si>
  <si>
    <t>Payment service provider identifier</t>
  </si>
  <si>
    <t>ubl:Invoice/cac:PaymentMeans/cac:PayeeFinancialAccount/cac:FinancialInstitutionBranch/cbc:ID</t>
  </si>
  <si>
    <t>An identifier for the payment service provider where a payment account is located. Such as a BIC or a national clearing code where required. No identification scheme Identifier to be used.</t>
  </si>
  <si>
    <t>9999</t>
  </si>
  <si>
    <t>https://docs.peppol.eu/poacc/billing/3.0/syntax/ubl-invoice/cac-PaymentMeans/cac-PayeeFinancialAccount/cac-FinancialInstitutionBranch/cbc-ID/</t>
  </si>
  <si>
    <t>DIRECT DEBIT</t>
  </si>
  <si>
    <t>cac:PaymentMandate</t>
  </si>
  <si>
    <t>ubl:Invoice/cac:PaymentMeans/cac:PaymentMandate</t>
  </si>
  <si>
    <t>A group of business terms to specify a direct debit.</t>
  </si>
  <si>
    <t>https://docs.peppol.eu/poacc/billing/3.0/syntax/ubl-invoice/cac-PaymentMeans/cac-PaymentMandate/</t>
  </si>
  <si>
    <t>Mandate reference identifier</t>
  </si>
  <si>
    <t>ubl:Invoice/cac:PaymentMeans/cac:PaymentMandate/cbc:ID</t>
  </si>
  <si>
    <t>Unique identifier assigned by the Payee for referencing the direct debit mandate. Used in order to pre-notify the Buyer of a SEPA direct debit.</t>
  </si>
  <si>
    <t>123456</t>
  </si>
  <si>
    <t>https://docs.peppol.eu/poacc/billing/3.0/syntax/ubl-invoice/cac-PaymentMeans/cac-PaymentMandate/cbc-ID/</t>
  </si>
  <si>
    <t>PAYER FINANCIAL ACCOUNT</t>
  </si>
  <si>
    <t>cac:PayerFinancialAccount</t>
  </si>
  <si>
    <t>ubl:Invoice/cac:PaymentMeans/cac:PaymentMandate/cac:PayerFinancialAccount</t>
  </si>
  <si>
    <t>https://docs.peppol.eu/poacc/billing/3.0/syntax/ubl-invoice/cac-PaymentMeans/cac-PaymentMandate/cac-PayerFinancialAccount/</t>
  </si>
  <si>
    <t>Debited account identifier</t>
  </si>
  <si>
    <t>ubl:Invoice/cac:PaymentMeans/cac:PaymentMandate/cac:PayerFinancialAccount/cbc:ID</t>
  </si>
  <si>
    <t>The account to be debited by the direct debit.</t>
  </si>
  <si>
    <t>12345676543</t>
  </si>
  <si>
    <t>https://docs.peppol.eu/poacc/billing/3.0/syntax/ubl-invoice/cac-PaymentMeans/cac-PaymentMandate/cac-PayerFinancialAccount/cbc-ID/</t>
  </si>
  <si>
    <t>PAYMENT TERMS</t>
  </si>
  <si>
    <t>cac:PaymentTerms</t>
  </si>
  <si>
    <t>ubl:Invoice/cac:PaymentTerms</t>
  </si>
  <si>
    <t>https://docs.peppol.eu/poacc/billing/3.0/syntax/ubl-invoice/cac-PaymentTerms/</t>
  </si>
  <si>
    <t>Payment terms</t>
  </si>
  <si>
    <t>ubl:Invoice/cac:PaymentTerms/cbc:Note</t>
  </si>
  <si>
    <t>A textual description of the payment terms that apply to the amount due for payment (Including description of possible penalties). In case the Amount due for payment (BT-115) is positive, either the Payment due date (BT-9) or the Payment terms (BT-20) shall be present.</t>
  </si>
  <si>
    <t>Net within 30 days</t>
  </si>
  <si>
    <t>https://docs.peppol.eu/poacc/billing/3.0/syntax/ubl-invoice/cac-PaymentTerms/cbc-Note/</t>
  </si>
  <si>
    <t>Allowances and charges</t>
  </si>
  <si>
    <t>DOCUMENT LEVEL ALLOWANCES AND CHARGES</t>
  </si>
  <si>
    <t>cac:AllowanceCharge</t>
  </si>
  <si>
    <t>ubl:Invoice/cac:AllowanceCharge</t>
  </si>
  <si>
    <t>A group of business terms providing information about allowances applicable to the Invoice as a whole. A group of business terms providing information about charges and taxes other than VAT, applicable to the Invoice as a whole.</t>
  </si>
  <si>
    <t>https://docs.peppol.eu/poacc/billing/3.0/syntax/ubl-invoice/cac-AllowanceCharge/</t>
  </si>
  <si>
    <t>cbc:ChargeIndicator</t>
  </si>
  <si>
    <t>ubl:Invoice/cac:AllowanceCharge/cbc:ChargeIndicator</t>
  </si>
  <si>
    <t>Use “true” when informing about Charges and “false” when informing about Allowances.</t>
  </si>
  <si>
    <t>false</t>
  </si>
  <si>
    <t>https://docs.peppol.eu/poacc/billing/3.0/syntax/ubl-invoice/cac-AllowanceCharge/cbc-ChargeIndicator/</t>
  </si>
  <si>
    <t>Document level allowance or charge reason code</t>
  </si>
  <si>
    <t>cbc:AllowanceChargeReasonCode</t>
  </si>
  <si>
    <t>ubl:Invoice/cac:AllowanceCharge/cbc:AllowanceChargeReasonCode</t>
  </si>
  <si>
    <t>The reason for the document level allowance or charge, expressed as a code. For allowances a subset of codelist UNCL5189 is to be used, and for charges codelist UNCL7161 applies. The Document level allowance reason code and the Document level allowance reason shall indicate the same allowance reason</t>
  </si>
  <si>
    <t>95</t>
  </si>
  <si>
    <t>https://docs.peppol.eu/poacc/billing/3.0/syntax/ubl-invoice/cac-AllowanceCharge/cbc-AllowanceChargeReasonCode/</t>
  </si>
  <si>
    <t>Document level allowance or charge reason</t>
  </si>
  <si>
    <t>cbc:AllowanceChargeReason</t>
  </si>
  <si>
    <t>ubl:Invoice/cac:AllowanceCharge/cbc:AllowanceChargeReason</t>
  </si>
  <si>
    <t>The reason for the document level allowance or charge, expressed as text. The Document level allowance reason code and the Document level allowance reason shall indicate the same allowance reason</t>
  </si>
  <si>
    <t>Discount</t>
  </si>
  <si>
    <t>https://docs.peppol.eu/poacc/billing/3.0/syntax/ubl-invoice/cac-AllowanceCharge/cbc-AllowanceChargeReason/</t>
  </si>
  <si>
    <t>Document level allowance or charge percentage</t>
  </si>
  <si>
    <t>cbc:MultiplierFactorNumeric</t>
  </si>
  <si>
    <t>ubl:Invoice/cac:AllowanceCharge/cbc:MultiplierFactorNumeric</t>
  </si>
  <si>
    <t>Numeric datatype, sign, decimal precision and cross-total rules</t>
  </si>
  <si>
    <t>The percentage that may be used, in conjunction with the document level allowance base amount, to calculate the document level allowance or charge amount. To state 20%, use value 20.</t>
  </si>
  <si>
    <t>20</t>
  </si>
  <si>
    <t>https://docs.peppol.eu/poacc/billing/3.0/syntax/ubl-invoice/cac-AllowanceCharge/cbc-MultiplierFactorNumeric/</t>
  </si>
  <si>
    <t>Document level allowance or charge amount</t>
  </si>
  <si>
    <t>cbc:Amount</t>
  </si>
  <si>
    <t>ubl:Invoice/cac:AllowanceCharge/cbc:Amount</t>
  </si>
  <si>
    <t>Numeric datatype, sign, decimal precision and cross-total rules; Apply the conditional/business rule stated in the description</t>
  </si>
  <si>
    <t>The amount of an allowance or a charge, without VAT. Must be rounded to maximum 2 decimals</t>
  </si>
  <si>
    <t>200</t>
  </si>
  <si>
    <t>https://docs.peppol.eu/poacc/billing/3.0/syntax/ubl-invoice/cac-AllowanceCharge/cbc-Amount/</t>
  </si>
  <si>
    <t>@currencyID</t>
  </si>
  <si>
    <t>ubl:Invoice/cac:AllowanceCharge/cbc:Amount/@currencyID</t>
  </si>
  <si>
    <t>ISO 4217 currency code; currencyID must align to document/tax currency; Numeric datatype, sign, decimal precision and cross-total rules</t>
  </si>
  <si>
    <t>Mandatory attribute. Use BT-5</t>
  </si>
  <si>
    <t>https://docs.peppol.eu/poacc/billing/3.0/syntax/ubl-invoice/cac-AllowanceCharge/cbc-Amount/currencyID/</t>
  </si>
  <si>
    <t>Document level allowance or charge base amount</t>
  </si>
  <si>
    <t>cbc:BaseAmount</t>
  </si>
  <si>
    <t>ubl:Invoice/cac:AllowanceCharge/cbc:BaseAmount</t>
  </si>
  <si>
    <t>The base amount that may be used, in conjunction with the document level allowance or charge percentage, to calculate the document level allowance or charge amount. Must be rounded to maximum 2 decimals</t>
  </si>
  <si>
    <t>1000</t>
  </si>
  <si>
    <t>https://docs.peppol.eu/poacc/billing/3.0/syntax/ubl-invoice/cac-AllowanceCharge/cbc-BaseAmount/</t>
  </si>
  <si>
    <t>ubl:Invoice/cac:AllowanceCharge/cbc:BaseAmount/@currencyID</t>
  </si>
  <si>
    <t>https://docs.peppol.eu/poacc/billing/3.0/syntax/ubl-invoice/cac-AllowanceCharge/cbc-BaseAmount/currencyID/</t>
  </si>
  <si>
    <t>TAX CATEGORY</t>
  </si>
  <si>
    <t>cac:TaxCategory</t>
  </si>
  <si>
    <t>ubl:Invoice/cac:AllowanceCharge/cac:TaxCategory</t>
  </si>
  <si>
    <t>Allowed UNCL 5305/Peppol VAT category and related tax rules</t>
  </si>
  <si>
    <t>https://docs.peppol.eu/poacc/billing/3.0/syntax/ubl-invoice/cac-AllowanceCharge/cac-TaxCategory/</t>
  </si>
  <si>
    <t>Document level allowance or charge VAT category code</t>
  </si>
  <si>
    <t>ubl:Invoice/cac:AllowanceCharge/cac:TaxCategory/cbc:ID</t>
  </si>
  <si>
    <t>A coded identification of what VAT category applies to the document level allowance or charge.</t>
  </si>
  <si>
    <t>S</t>
  </si>
  <si>
    <t>https://docs.peppol.eu/poacc/billing/3.0/syntax/ubl-invoice/cac-AllowanceCharge/cac-TaxCategory/cbc-ID/</t>
  </si>
  <si>
    <t>Document level allowance or charge VAT rate</t>
  </si>
  <si>
    <t>cbc:Percent</t>
  </si>
  <si>
    <t>ubl:Invoice/cac:AllowanceCharge/cac:TaxCategory/cbc:Percent</t>
  </si>
  <si>
    <t>The VAT rate, represented as percentage that applies to the document level allowance or charge.</t>
  </si>
  <si>
    <t>25</t>
  </si>
  <si>
    <t>https://docs.peppol.eu/poacc/billing/3.0/syntax/ubl-invoice/cac-AllowanceCharge/cac-TaxCategory/cbc-Percent/</t>
  </si>
  <si>
    <t>ubl:Invoice/cac:AllowanceCharge/cac:TaxCategory/cac:TaxScheme</t>
  </si>
  <si>
    <t>https://docs.peppol.eu/poacc/billing/3.0/syntax/ubl-invoice/cac-AllowanceCharge/cac-TaxCategory/cac-TaxScheme/</t>
  </si>
  <si>
    <t>ubl:Invoice/cac:AllowanceCharge/cac:TaxCategory/cac:TaxScheme/cbc:ID</t>
  </si>
  <si>
    <t>https://docs.peppol.eu/poacc/billing/3.0/syntax/ubl-invoice/cac-AllowanceCharge/cac-TaxCategory/cac-TaxScheme/cbc-ID/</t>
  </si>
  <si>
    <t>VAT breakdown</t>
  </si>
  <si>
    <t>TAX TOTAL</t>
  </si>
  <si>
    <t>cac:TaxTotal</t>
  </si>
  <si>
    <t>ubl:Invoice/cac:TaxTotal</t>
  </si>
  <si>
    <t>1..2</t>
  </si>
  <si>
    <t>ISO 4217 currency code; currencyID must align to document/tax currency; Apply the conditional/business rule stated in the description</t>
  </si>
  <si>
    <t>When tax currency code is provided, two instances of the tax total must be present, but only one with tax subtotal.</t>
  </si>
  <si>
    <t>https://docs.peppol.eu/poacc/billing/3.0/syntax/ubl-invoice/cac-TaxTotal/</t>
  </si>
  <si>
    <t>Invoice total VAT amount, Invoice total VAT amount in accounting currency</t>
  </si>
  <si>
    <t>cbc:TaxAmount</t>
  </si>
  <si>
    <t>ubl:Invoice/cac:TaxTotal/cbc:TaxAmount</t>
  </si>
  <si>
    <t>The total VAT amount for the Invoice or the VAT total amount expressed in the accounting currency accepted or required in the country of the Seller. Must be rounded to maximum 2 decimals</t>
  </si>
  <si>
    <t>486.25</t>
  </si>
  <si>
    <t>https://docs.peppol.eu/poacc/billing/3.0/syntax/ubl-invoice/cac-TaxTotal/cbc-TaxAmount/</t>
  </si>
  <si>
    <t>ubl:Invoice/cac:TaxTotal/cbc:TaxAmount/@currencyID</t>
  </si>
  <si>
    <t>Mandatory attribute. Use BT-5 or BT-6.</t>
  </si>
  <si>
    <t>https://docs.peppol.eu/poacc/billing/3.0/syntax/ubl-invoice/cac-TaxTotal/cbc-TaxAmount/currencyID/</t>
  </si>
  <si>
    <t>VAT BREAKDOWN</t>
  </si>
  <si>
    <t>cac:TaxSubtotal</t>
  </si>
  <si>
    <t>ubl:Invoice/cac:TaxTotal/cac:TaxSubtotal</t>
  </si>
  <si>
    <t>A group of business terms providing information about VAT breakdown by different categories, rates and exemption reasons</t>
  </si>
  <si>
    <t>https://docs.peppol.eu/poacc/billing/3.0/syntax/ubl-invoice/cac-TaxTotal/cac-TaxSubtotal/</t>
  </si>
  <si>
    <t>VAT category taxable amount</t>
  </si>
  <si>
    <t>cbc:TaxableAmount</t>
  </si>
  <si>
    <t>ubl:Invoice/cac:TaxTotal/cac:TaxSubtotal/cbc:TaxableAmount</t>
  </si>
  <si>
    <t>Allowed UNCL 5305/Peppol VAT category and related tax rules; Numeric datatype, sign, decimal precision and cross-total rules; Apply the conditional/business rule stated in the description</t>
  </si>
  <si>
    <t>Sum of all taxable amounts subject to a specific VAT category code and VAT category rate (if the VAT category rate is applicable). Must be rounded to maximum 2 decimals.</t>
  </si>
  <si>
    <t>1945.00</t>
  </si>
  <si>
    <t>https://docs.peppol.eu/poacc/billing/3.0/syntax/ubl-invoice/cac-TaxTotal/cac-TaxSubtotal/cbc-TaxableAmount/</t>
  </si>
  <si>
    <t>ubl:Invoice/cac:TaxTotal/cac:TaxSubtotal/cbc:TaxableAmount/@currencyID</t>
  </si>
  <si>
    <t>https://docs.peppol.eu/poacc/billing/3.0/syntax/ubl-invoice/cac-TaxTotal/cac-TaxSubtotal/cbc-TaxableAmount/currencyID/</t>
  </si>
  <si>
    <t>VAT category tax amount</t>
  </si>
  <si>
    <t>ubl:Invoice/cac:TaxTotal/cac:TaxSubtotal/cbc:TaxAmount</t>
  </si>
  <si>
    <t>The total VAT amount for a given VAT category. Must be rounded to maximum 2 decimals.</t>
  </si>
  <si>
    <t>https://docs.peppol.eu/poacc/billing/3.0/syntax/ubl-invoice/cac-TaxTotal/cac-TaxSubtotal/cbc-TaxAmount/</t>
  </si>
  <si>
    <t>ubl:Invoice/cac:TaxTotal/cac:TaxSubtotal/cbc:TaxAmount/@currencyID</t>
  </si>
  <si>
    <t>https://docs.peppol.eu/poacc/billing/3.0/syntax/ubl-invoice/cac-TaxTotal/cac-TaxSubtotal/cbc-TaxAmount/currencyID/</t>
  </si>
  <si>
    <t>VAT CATEGORY</t>
  </si>
  <si>
    <t>ubl:Invoice/cac:TaxTotal/cac:TaxSubtotal/cac:TaxCategory</t>
  </si>
  <si>
    <t>https://docs.peppol.eu/poacc/billing/3.0/syntax/ubl-invoice/cac-TaxTotal/cac-TaxSubtotal/cac-TaxCategory/</t>
  </si>
  <si>
    <t>VAT category code</t>
  </si>
  <si>
    <t>ubl:Invoice/cac:TaxTotal/cac:TaxSubtotal/cac:TaxCategory/cbc:ID</t>
  </si>
  <si>
    <t>Coded identification of a VAT category.</t>
  </si>
  <si>
    <t>https://docs.peppol.eu/poacc/billing/3.0/syntax/ubl-invoice/cac-TaxTotal/cac-TaxSubtotal/cac-TaxCategory/cbc-ID/</t>
  </si>
  <si>
    <t>VAT category rate</t>
  </si>
  <si>
    <t>ubl:Invoice/cac:TaxTotal/cac:TaxSubtotal/cac:TaxCategory/cbc:Percent</t>
  </si>
  <si>
    <t>Allowed UNCL 5305/Peppol VAT category and related tax rules; Numeric datatype, sign, decimal precision and cross-total rules</t>
  </si>
  <si>
    <t>The VAT rate, represented as percentage that applies for the relevant VAT category.</t>
  </si>
  <si>
    <t>https://docs.peppol.eu/poacc/billing/3.0/syntax/ubl-invoice/cac-TaxTotal/cac-TaxSubtotal/cac-TaxCategory/cbc-Percent/</t>
  </si>
  <si>
    <t>VAT exemption reason code</t>
  </si>
  <si>
    <t>cbc:TaxExemptionReasonCode</t>
  </si>
  <si>
    <t>ubl:Invoice/cac:TaxTotal/cac:TaxSubtotal/cac:TaxCategory/cbc:TaxExemptionReasonCode</t>
  </si>
  <si>
    <t>A coded statement of the reason for why the amount is exempted from VAT.</t>
  </si>
  <si>
    <t>https://docs.peppol.eu/poacc/billing/3.0/syntax/ubl-invoice/cac-TaxTotal/cac-TaxSubtotal/cac-TaxCategory/cbc-TaxExemptionReasonCode/</t>
  </si>
  <si>
    <t>VAT exemption reason text</t>
  </si>
  <si>
    <t>cbc:TaxExemptionReason</t>
  </si>
  <si>
    <t>ubl:Invoice/cac:TaxTotal/cac:TaxSubtotal/cac:TaxCategory/cbc:TaxExemptionReason</t>
  </si>
  <si>
    <t>A textual statement of the reason why the amount is exempted from VAT or why no VAT is being charged.</t>
  </si>
  <si>
    <t>Exempt</t>
  </si>
  <si>
    <t>https://docs.peppol.eu/poacc/billing/3.0/syntax/ubl-invoice/cac-TaxTotal/cac-TaxSubtotal/cac-TaxCategory/cbc-TaxExemptionReason/</t>
  </si>
  <si>
    <t>ubl:Invoice/cac:TaxTotal/cac:TaxSubtotal/cac:TaxCategory/cac:TaxScheme</t>
  </si>
  <si>
    <t>https://docs.peppol.eu/poacc/billing/3.0/syntax/ubl-invoice/cac-TaxTotal/cac-TaxSubtotal/cac-TaxCategory/cac-TaxScheme/</t>
  </si>
  <si>
    <t>ubl:Invoice/cac:TaxTotal/cac:TaxSubtotal/cac:TaxCategory/cac:TaxScheme/cbc:ID</t>
  </si>
  <si>
    <t>https://docs.peppol.eu/poacc/billing/3.0/syntax/ubl-invoice/cac-TaxTotal/cac-TaxSubtotal/cac-TaxCategory/cac-TaxScheme/cbc-ID/</t>
  </si>
  <si>
    <t>Totals</t>
  </si>
  <si>
    <t>DOCUMENT TOTALS</t>
  </si>
  <si>
    <t>cac:LegalMonetaryTotal</t>
  </si>
  <si>
    <t>ubl:Invoice/cac:LegalMonetaryTotal</t>
  </si>
  <si>
    <t>A group of business terms providing the monetary totals for the Invoice.</t>
  </si>
  <si>
    <t>https://docs.peppol.eu/poacc/billing/3.0/syntax/ubl-invoice/cac-LegalMonetaryTotal/</t>
  </si>
  <si>
    <t>Sum of Invoice line net amount</t>
  </si>
  <si>
    <t>cbc:LineExtensionAmount</t>
  </si>
  <si>
    <t>ubl:Invoice/cac:LegalMonetaryTotal/cbc:LineExtensionAmount</t>
  </si>
  <si>
    <t>Sum of all Invoice line net amounts in the Invoice. Must be rounded to maximum 2 decimals.</t>
  </si>
  <si>
    <t>3800.0</t>
  </si>
  <si>
    <t>https://docs.peppol.eu/poacc/billing/3.0/syntax/ubl-invoice/cac-LegalMonetaryTotal/cbc-LineExtensionAmount/</t>
  </si>
  <si>
    <t>ubl:Invoice/cac:LegalMonetaryTotal/cbc:LineExtensionAmount/@currencyID</t>
  </si>
  <si>
    <t>https://docs.peppol.eu/poacc/billing/3.0/syntax/ubl-invoice/cac-LegalMonetaryTotal/cbc-LineExtensionAmount/currencyID/</t>
  </si>
  <si>
    <t>Invoice total amount without VAT</t>
  </si>
  <si>
    <t>cbc:TaxExclusiveAmount</t>
  </si>
  <si>
    <t>ubl:Invoice/cac:LegalMonetaryTotal/cbc:TaxExclusiveAmount</t>
  </si>
  <si>
    <t>The total amount of the Invoice without VAT. Must be rounded to maximum 2 decimals.</t>
  </si>
  <si>
    <t>3600.0</t>
  </si>
  <si>
    <t>https://docs.peppol.eu/poacc/billing/3.0/syntax/ubl-invoice/cac-LegalMonetaryTotal/cbc-TaxExclusiveAmount/</t>
  </si>
  <si>
    <t>ubl:Invoice/cac:LegalMonetaryTotal/cbc:TaxExclusiveAmount/@currencyID</t>
  </si>
  <si>
    <t>https://docs.peppol.eu/poacc/billing/3.0/syntax/ubl-invoice/cac-LegalMonetaryTotal/cbc-TaxExclusiveAmount/currencyID/</t>
  </si>
  <si>
    <t>Invoice total amount with VAT</t>
  </si>
  <si>
    <t>cbc:TaxInclusiveAmount</t>
  </si>
  <si>
    <t>ubl:Invoice/cac:LegalMonetaryTotal/cbc:TaxInclusiveAmount</t>
  </si>
  <si>
    <t>The total amount of the Invoice with VAT. Must be rounded to maximum 2 decimals.</t>
  </si>
  <si>
    <t>4500.0</t>
  </si>
  <si>
    <t>https://docs.peppol.eu/poacc/billing/3.0/syntax/ubl-invoice/cac-LegalMonetaryTotal/cbc-TaxInclusiveAmount/</t>
  </si>
  <si>
    <t>ubl:Invoice/cac:LegalMonetaryTotal/cbc:TaxInclusiveAmount/@currencyID</t>
  </si>
  <si>
    <t>https://docs.peppol.eu/poacc/billing/3.0/syntax/ubl-invoice/cac-LegalMonetaryTotal/cbc-TaxInclusiveAmount/currencyID/</t>
  </si>
  <si>
    <t>Sum of allowances on document level</t>
  </si>
  <si>
    <t>cbc:AllowanceTotalAmount</t>
  </si>
  <si>
    <t>ubl:Invoice/cac:LegalMonetaryTotal/cbc:AllowanceTotalAmount</t>
  </si>
  <si>
    <t>Sum of all allowances on document level in the Invoice. Must be rounded to maximum 2 decimals.</t>
  </si>
  <si>
    <t>200.0</t>
  </si>
  <si>
    <t>https://docs.peppol.eu/poacc/billing/3.0/syntax/ubl-invoice/cac-LegalMonetaryTotal/cbc-AllowanceTotalAmount/</t>
  </si>
  <si>
    <t>ubl:Invoice/cac:LegalMonetaryTotal/cbc:AllowanceTotalAmount/@currencyID</t>
  </si>
  <si>
    <t>https://docs.peppol.eu/poacc/billing/3.0/syntax/ubl-invoice/cac-LegalMonetaryTotal/cbc-AllowanceTotalAmount/currencyID/</t>
  </si>
  <si>
    <t>Sum of charges on document level</t>
  </si>
  <si>
    <t>cbc:ChargeTotalAmount</t>
  </si>
  <si>
    <t>ubl:Invoice/cac:LegalMonetaryTotal/cbc:ChargeTotalAmount</t>
  </si>
  <si>
    <t>Sum of all charges on document level in the Invoice. Must be rounded to maximum 2 decimals.</t>
  </si>
  <si>
    <t>0.0</t>
  </si>
  <si>
    <t>https://docs.peppol.eu/poacc/billing/3.0/syntax/ubl-invoice/cac-LegalMonetaryTotal/cbc-ChargeTotalAmount/</t>
  </si>
  <si>
    <t>ubl:Invoice/cac:LegalMonetaryTotal/cbc:ChargeTotalAmount/@currencyID</t>
  </si>
  <si>
    <t>https://docs.peppol.eu/poacc/billing/3.0/syntax/ubl-invoice/cac-LegalMonetaryTotal/cbc-ChargeTotalAmount/currencyID/</t>
  </si>
  <si>
    <t>Paid amount</t>
  </si>
  <si>
    <t>cbc:PrepaidAmount</t>
  </si>
  <si>
    <t>ubl:Invoice/cac:LegalMonetaryTotal/cbc:PrepaidAmount</t>
  </si>
  <si>
    <t>The sum of amounts which have been paid in advance. Must be rounded to maximum 2 decimals.</t>
  </si>
  <si>
    <t>1000.0</t>
  </si>
  <si>
    <t>https://docs.peppol.eu/poacc/billing/3.0/syntax/ubl-invoice/cac-LegalMonetaryTotal/cbc-PrepaidAmount/</t>
  </si>
  <si>
    <t>ubl:Invoice/cac:LegalMonetaryTotal/cbc:PrepaidAmount/@currencyID</t>
  </si>
  <si>
    <t>https://docs.peppol.eu/poacc/billing/3.0/syntax/ubl-invoice/cac-LegalMonetaryTotal/cbc-PrepaidAmount/currencyID/</t>
  </si>
  <si>
    <t>Rounding amount</t>
  </si>
  <si>
    <t>cbc:PayableRoundingAmount</t>
  </si>
  <si>
    <t>ubl:Invoice/cac:LegalMonetaryTotal/cbc:PayableRoundingAmount</t>
  </si>
  <si>
    <t>The amount to be added to the invoice total to round the amount to be paid. Must be rounded to maximum 2 decimals.</t>
  </si>
  <si>
    <t>https://docs.peppol.eu/poacc/billing/3.0/syntax/ubl-invoice/cac-LegalMonetaryTotal/cbc-PayableRoundingAmount/</t>
  </si>
  <si>
    <t>ubl:Invoice/cac:LegalMonetaryTotal/cbc:PayableRoundingAmount/@currencyID</t>
  </si>
  <si>
    <t>https://docs.peppol.eu/poacc/billing/3.0/syntax/ubl-invoice/cac-LegalMonetaryTotal/cbc-PayableRoundingAmount/currencyID/</t>
  </si>
  <si>
    <t>Amount due for payment</t>
  </si>
  <si>
    <t>cbc:PayableAmount</t>
  </si>
  <si>
    <t>ubl:Invoice/cac:LegalMonetaryTotal/cbc:PayableAmount</t>
  </si>
  <si>
    <t>The outstanding amount that is requested to be paid. Must be rounded to maximum 2 decimals.</t>
  </si>
  <si>
    <t>3500.0</t>
  </si>
  <si>
    <t>https://docs.peppol.eu/poacc/billing/3.0/syntax/ubl-invoice/cac-LegalMonetaryTotal/cbc-PayableAmount/</t>
  </si>
  <si>
    <t>ubl:Invoice/cac:LegalMonetaryTotal/cbc:PayableAmount/@currencyID</t>
  </si>
  <si>
    <t>https://docs.peppol.eu/poacc/billing/3.0/syntax/ubl-invoice/cac-LegalMonetaryTotal/cbc-PayableAmount/currencyID/</t>
  </si>
  <si>
    <t>Invoice lines</t>
  </si>
  <si>
    <t>INVOICE LINE</t>
  </si>
  <si>
    <t>cac:InvoiceLine</t>
  </si>
  <si>
    <t>ubl:Invoice/cac:InvoiceLine</t>
  </si>
  <si>
    <t>1..n</t>
  </si>
  <si>
    <t>A group of business terms providing information on individual Invoice lines.</t>
  </si>
  <si>
    <t>https://docs.peppol.eu/poacc/billing/3.0/syntax/ubl-invoice/cac-InvoiceLine/</t>
  </si>
  <si>
    <t>Invoice line identifier</t>
  </si>
  <si>
    <t>ubl:Invoice/cac:InvoiceLine/cbc:ID</t>
  </si>
  <si>
    <t>A unique identifier for the individual line within the Invoice.</t>
  </si>
  <si>
    <t>12</t>
  </si>
  <si>
    <t>https://docs.peppol.eu/poacc/billing/3.0/syntax/ubl-invoice/cac-InvoiceLine/cbc-ID/</t>
  </si>
  <si>
    <t>Invoice line note</t>
  </si>
  <si>
    <t>ubl:Invoice/cac:InvoiceLine/cbc:Note</t>
  </si>
  <si>
    <t>A textual note that gives unstructured information that is relevant to the Invoice line.</t>
  </si>
  <si>
    <t>New article number 12345</t>
  </si>
  <si>
    <t>https://docs.peppol.eu/poacc/billing/3.0/syntax/ubl-invoice/cac-InvoiceLine/cbc-Note/</t>
  </si>
  <si>
    <t>Invoiced quantity</t>
  </si>
  <si>
    <t>cbc:InvoicedQuantity</t>
  </si>
  <si>
    <t>ubl:Invoice/cac:InvoiceLine/cbc:InvoicedQuantity</t>
  </si>
  <si>
    <t>The quantity of items (goods or services) that is charged in the Invoice line.</t>
  </si>
  <si>
    <t>100</t>
  </si>
  <si>
    <t>https://docs.peppol.eu/poacc/billing/3.0/syntax/ubl-invoice/cac-InvoiceLine/cbc-InvoicedQuantity/</t>
  </si>
  <si>
    <t>Invoiced quantity unit of measure</t>
  </si>
  <si>
    <t>@unitCode</t>
  </si>
  <si>
    <t>ubl:Invoice/cac:InvoiceLine/cbc:InvoicedQuantity/@unitCode</t>
  </si>
  <si>
    <t>UNECE Recommendation 20/21 unit code; Numeric datatype, sign, decimal precision and cross-total rules; Apply the conditional/business rule stated in the description</t>
  </si>
  <si>
    <t>The unit of measure that applies to the invoiced quantity. Codes for unit of packaging from UNECE Recommendation No. 21 can be used in accordance with the descriptions in the "Intro" section of UN/ECE Recommendation 20, Revision 11 (2015): The 2 character alphanumeric code values in UNECE Recommendation 21 shall be used. To avoid duplication with existing code values in UNECE Recommendation No. 20, each code value from UNECE Recommendation 21 shall be prefixed with an “X”, resulting in a 3 alphanumeric code when used as a unit of measure.</t>
  </si>
  <si>
    <t>C62</t>
  </si>
  <si>
    <t>https://docs.peppol.eu/poacc/billing/3.0/syntax/ubl-invoice/cac-InvoiceLine/cbc-InvoicedQuantity/unitCode/</t>
  </si>
  <si>
    <t>Invoice line net amount</t>
  </si>
  <si>
    <t>ubl:Invoice/cac:InvoiceLine/cbc:LineExtensionAmount</t>
  </si>
  <si>
    <t>The total amount of the Invoice line. The amount is “net” without VAT, i.e. inclusive of line level allowances and charges as well as other relevant taxes. Must be rounded to maximum 2 decimals.</t>
  </si>
  <si>
    <t>2145.00</t>
  </si>
  <si>
    <t>https://docs.peppol.eu/poacc/billing/3.0/syntax/ubl-invoice/cac-InvoiceLine/cbc-LineExtensionAmount/</t>
  </si>
  <si>
    <t>ubl:Invoice/cac:InvoiceLine/cbc:LineExtensionAmount/@currencyID</t>
  </si>
  <si>
    <t>https://docs.peppol.eu/poacc/billing/3.0/syntax/ubl-invoice/cac-InvoiceLine/cbc-LineExtensionAmount/currencyID/</t>
  </si>
  <si>
    <t>Invoice line Buyer accounting reference</t>
  </si>
  <si>
    <t>ubl:Invoice/cac:InvoiceLine/cbc:AccountingCost</t>
  </si>
  <si>
    <t>1287:65464</t>
  </si>
  <si>
    <t>https://docs.peppol.eu/poacc/billing/3.0/syntax/ubl-invoice/cac-InvoiceLine/cbc-AccountingCost/</t>
  </si>
  <si>
    <t>INVOICE LINE PERIOD</t>
  </si>
  <si>
    <t>ubl:Invoice/cac:InvoiceLine/cac:InvoicePeriod</t>
  </si>
  <si>
    <t>A group of business terms providing information about the period relevant for the Invoice line.</t>
  </si>
  <si>
    <t>https://docs.peppol.eu/poacc/billing/3.0/syntax/ubl-invoice/cac-InvoiceLine/cac-InvoicePeriod/</t>
  </si>
  <si>
    <t>Invoice line period start date</t>
  </si>
  <si>
    <t>ubl:Invoice/cac:InvoiceLine/cac:InvoicePeriod/cbc:StartDate</t>
  </si>
  <si>
    <t>The date when the Invoice period for this Invoice line starts. Format ="YYYY-MM-DD"</t>
  </si>
  <si>
    <t>2017-10-05</t>
  </si>
  <si>
    <t>https://docs.peppol.eu/poacc/billing/3.0/syntax/ubl-invoice/cac-InvoiceLine/cac-InvoicePeriod/cbc-StartDate/</t>
  </si>
  <si>
    <t>Invoice line period end date</t>
  </si>
  <si>
    <t>ubl:Invoice/cac:InvoiceLine/cac:InvoicePeriod/cbc:EndDate</t>
  </si>
  <si>
    <t>The date when the Invoice period for this Invoice line ends. Format ="YYYY-MM-DD"</t>
  </si>
  <si>
    <t>2017-10-15</t>
  </si>
  <si>
    <t>https://docs.peppol.eu/poacc/billing/3.0/syntax/ubl-invoice/cac-InvoiceLine/cac-InvoicePeriod/cbc-EndDate/</t>
  </si>
  <si>
    <t>ORDER LINE REFERENCE</t>
  </si>
  <si>
    <t>cac:OrderLineReference</t>
  </si>
  <si>
    <t>ubl:Invoice/cac:InvoiceLine/cac:OrderLineReference</t>
  </si>
  <si>
    <t>https://docs.peppol.eu/poacc/billing/3.0/syntax/ubl-invoice/cac-InvoiceLine/cac-OrderLineReference/</t>
  </si>
  <si>
    <t>Referenced purchase order line reference</t>
  </si>
  <si>
    <t>cbc:LineID</t>
  </si>
  <si>
    <t>ubl:Invoice/cac:InvoiceLine/cac:OrderLineReference/cbc:LineID</t>
  </si>
  <si>
    <t>An identifier for a referenced line within a purchase order, issued by the Buyer.</t>
  </si>
  <si>
    <t>https://docs.peppol.eu/poacc/billing/3.0/syntax/ubl-invoice/cac-InvoiceLine/cac-OrderLineReference/cbc-LineID/</t>
  </si>
  <si>
    <t>LINE OBJECT IDENTIFIER</t>
  </si>
  <si>
    <t>cac:DocumentReference</t>
  </si>
  <si>
    <t>ubl:Invoice/cac:InvoiceLine/cac:DocumentReference</t>
  </si>
  <si>
    <t>https://docs.peppol.eu/poacc/billing/3.0/syntax/ubl-invoice/cac-InvoiceLine/cac-DocumentReference/</t>
  </si>
  <si>
    <t>Invoice line object identifier</t>
  </si>
  <si>
    <t>ubl:Invoice/cac:InvoiceLine/cac:DocumentReference/cbc:ID</t>
  </si>
  <si>
    <t>An identifier for an object on which the invoice line is based, given by the Seller.</t>
  </si>
  <si>
    <t>AB12345</t>
  </si>
  <si>
    <t>https://docs.peppol.eu/poacc/billing/3.0/syntax/ubl-invoice/cac-InvoiceLine/cac-DocumentReference/cbc-ID/</t>
  </si>
  <si>
    <t>Invoice line object identifier identification scheme identifier</t>
  </si>
  <si>
    <t>ubl:Invoice/cac:InvoiceLine/cac:DocumentReference/cbc:ID/@schemeID</t>
  </si>
  <si>
    <t>The identification scheme identifier of the Invoice line object identifier.</t>
  </si>
  <si>
    <t>ABZ</t>
  </si>
  <si>
    <t>https://docs.peppol.eu/poacc/billing/3.0/syntax/ubl-invoice/cac-InvoiceLine/cac-DocumentReference/cbc-ID/schemeID/</t>
  </si>
  <si>
    <t>ubl:Invoice/cac:InvoiceLine/cac:DocumentReference/cbc:DocumentTypeCode</t>
  </si>
  <si>
    <t>https://docs.peppol.eu/poacc/billing/3.0/syntax/ubl-invoice/cac-InvoiceLine/cac-DocumentReference/cbc-DocumentTypeCode/</t>
  </si>
  <si>
    <t>INVOICE LINE ALLOWANCES OR CHARGES</t>
  </si>
  <si>
    <t>ubl:Invoice/cac:InvoiceLine/cac:AllowanceCharge</t>
  </si>
  <si>
    <t>A group of business terms providing information about allowances or charges applicable to the individual Invoice line.</t>
  </si>
  <si>
    <t>https://docs.peppol.eu/poacc/billing/3.0/syntax/ubl-invoice/cac-InvoiceLine/cac-AllowanceCharge/</t>
  </si>
  <si>
    <t>ubl:Invoice/cac:InvoiceLine/cac:AllowanceCharge/cbc:ChargeIndicator</t>
  </si>
  <si>
    <t>Use “true” when informing about Charges and “false” when informing about Allowances</t>
  </si>
  <si>
    <t>https://docs.peppol.eu/poacc/billing/3.0/syntax/ubl-invoice/cac-InvoiceLine/cac-AllowanceCharge/cbc-ChargeIndicator/</t>
  </si>
  <si>
    <t>Line level allowance or charge reason code</t>
  </si>
  <si>
    <t>ubl:Invoice/cac:InvoiceLine/cac:AllowanceCharge/cbc:AllowanceChargeReasonCode</t>
  </si>
  <si>
    <t>The reason for the line level allowance or charge, expressed as a code.</t>
  </si>
  <si>
    <t>https://docs.peppol.eu/poacc/billing/3.0/syntax/ubl-invoice/cac-InvoiceLine/cac-AllowanceCharge/cbc-AllowanceChargeReasonCode/</t>
  </si>
  <si>
    <t>Line level allowance or charge reason</t>
  </si>
  <si>
    <t>ubl:Invoice/cac:InvoiceLine/cac:AllowanceCharge/cbc:AllowanceChargeReason</t>
  </si>
  <si>
    <t>The reason for the line level allowance or charge, expressed as text.</t>
  </si>
  <si>
    <t>https://docs.peppol.eu/poacc/billing/3.0/syntax/ubl-invoice/cac-InvoiceLine/cac-AllowanceCharge/cbc-AllowanceChargeReason/</t>
  </si>
  <si>
    <t>Line level allowance or charge percentage</t>
  </si>
  <si>
    <t>ubl:Invoice/cac:InvoiceLine/cac:AllowanceCharge/cbc:MultiplierFactorNumeric</t>
  </si>
  <si>
    <t>The percentage that may be used, in conjunction with the line level allowance base amount, to calculate the line level allowance or charge amount.</t>
  </si>
  <si>
    <t>https://docs.peppol.eu/poacc/billing/3.0/syntax/ubl-invoice/cac-InvoiceLine/cac-AllowanceCharge/cbc-MultiplierFactorNumeric/</t>
  </si>
  <si>
    <t>Line level allowance or charge amount</t>
  </si>
  <si>
    <t>ubl:Invoice/cac:InvoiceLine/cac:AllowanceCharge/cbc:Amount</t>
  </si>
  <si>
    <t>https://docs.peppol.eu/poacc/billing/3.0/syntax/ubl-invoice/cac-InvoiceLine/cac-AllowanceCharge/cbc-Amount/</t>
  </si>
  <si>
    <t>ubl:Invoice/cac:InvoiceLine/cac:AllowanceCharge/cbc:Amount/@currencyID</t>
  </si>
  <si>
    <t>https://docs.peppol.eu/poacc/billing/3.0/syntax/ubl-invoice/cac-InvoiceLine/cac-AllowanceCharge/cbc-Amount/currencyID/</t>
  </si>
  <si>
    <t>Line level allowance or charge base amount</t>
  </si>
  <si>
    <t>ubl:Invoice/cac:InvoiceLine/cac:AllowanceCharge/cbc:BaseAmount</t>
  </si>
  <si>
    <t>The base amount that may be used, in conjunction with the line level allowance or charge percentage, to calculate the line level allowance or charge amount. Must be rounded to maximum 2 decimals</t>
  </si>
  <si>
    <t>https://docs.peppol.eu/poacc/billing/3.0/syntax/ubl-invoice/cac-InvoiceLine/cac-AllowanceCharge/cbc-BaseAmount/</t>
  </si>
  <si>
    <t>ubl:Invoice/cac:InvoiceLine/cac:AllowanceCharge/cbc:BaseAmount/@currencyID</t>
  </si>
  <si>
    <t>https://docs.peppol.eu/poacc/billing/3.0/syntax/ubl-invoice/cac-InvoiceLine/cac-AllowanceCharge/cbc-BaseAmount/currencyID/</t>
  </si>
  <si>
    <t>ITEM INFORMATION</t>
  </si>
  <si>
    <t>cac:Item</t>
  </si>
  <si>
    <t>ubl:Invoice/cac:InvoiceLine/cac:Item</t>
  </si>
  <si>
    <t>A group of business terms providing information about the goods and services invoiced.</t>
  </si>
  <si>
    <t>https://docs.peppol.eu/poacc/billing/3.0/syntax/ubl-invoice/cac-InvoiceLine/cac-Item/</t>
  </si>
  <si>
    <t>Item description</t>
  </si>
  <si>
    <t>cbc:Description</t>
  </si>
  <si>
    <t>ubl:Invoice/cac:InvoiceLine/cac:Item/cbc:Description</t>
  </si>
  <si>
    <t>A description for an item.The item description allows for describing the item and its features in more detail than the Item name.</t>
  </si>
  <si>
    <t>Long description of the item on the invoice line</t>
  </si>
  <si>
    <t>https://docs.peppol.eu/poacc/billing/3.0/syntax/ubl-invoice/cac-InvoiceLine/cac-Item/cbc-Description/</t>
  </si>
  <si>
    <t>Item name</t>
  </si>
  <si>
    <t>ubl:Invoice/cac:InvoiceLine/cac:Item/cbc:Name</t>
  </si>
  <si>
    <t>A name for an item.</t>
  </si>
  <si>
    <t>https://docs.peppol.eu/poacc/billing/3.0/syntax/ubl-invoice/cac-InvoiceLine/cac-Item/cbc-Name/</t>
  </si>
  <si>
    <t>BUYERS ITEM IDENTIFICATION</t>
  </si>
  <si>
    <t>cac:BuyersItemIdentification</t>
  </si>
  <si>
    <t>ubl:Invoice/cac:InvoiceLine/cac:Item/cac:BuyersItemIdentification</t>
  </si>
  <si>
    <t>https://docs.peppol.eu/poacc/billing/3.0/syntax/ubl-invoice/cac-InvoiceLine/cac-Item/cac-BuyersItemIdentification/</t>
  </si>
  <si>
    <t>Item Buyer's identifier</t>
  </si>
  <si>
    <t>ubl:Invoice/cac:InvoiceLine/cac:Item/cac:BuyersItemIdentification/cbc:ID</t>
  </si>
  <si>
    <t>An identifier, assigned by the Buyer, for the item.</t>
  </si>
  <si>
    <t>123455</t>
  </si>
  <si>
    <t>https://docs.peppol.eu/poacc/billing/3.0/syntax/ubl-invoice/cac-InvoiceLine/cac-Item/cac-BuyersItemIdentification/cbc-ID/</t>
  </si>
  <si>
    <t>SELLERS ITEM IDENTIFICATION</t>
  </si>
  <si>
    <t>cac:SellersItemIdentification</t>
  </si>
  <si>
    <t>ubl:Invoice/cac:InvoiceLine/cac:Item/cac:SellersItemIdentification</t>
  </si>
  <si>
    <t>https://docs.peppol.eu/poacc/billing/3.0/syntax/ubl-invoice/cac-InvoiceLine/cac-Item/cac-SellersItemIdentification/</t>
  </si>
  <si>
    <t>Item Seller's identifier</t>
  </si>
  <si>
    <t>ubl:Invoice/cac:InvoiceLine/cac:Item/cac:SellersItemIdentification/cbc:ID</t>
  </si>
  <si>
    <t>An identifier, assigned by the Seller, for the item.</t>
  </si>
  <si>
    <t>9873242</t>
  </si>
  <si>
    <t>https://docs.peppol.eu/poacc/billing/3.0/syntax/ubl-invoice/cac-InvoiceLine/cac-Item/cac-SellersItemIdentification/cbc-ID/</t>
  </si>
  <si>
    <t>STANDARD ITEM IDENTIFICATION</t>
  </si>
  <si>
    <t>cac:StandardItemIdentification</t>
  </si>
  <si>
    <t>ubl:Invoice/cac:InvoiceLine/cac:Item/cac:StandardItemIdentification</t>
  </si>
  <si>
    <t>https://docs.peppol.eu/poacc/billing/3.0/syntax/ubl-invoice/cac-InvoiceLine/cac-Item/cac-StandardItemIdentification/</t>
  </si>
  <si>
    <t>Item standard identifier</t>
  </si>
  <si>
    <t>ubl:Invoice/cac:InvoiceLine/cac:Item/cac:StandardItemIdentification/cbc:ID</t>
  </si>
  <si>
    <t>An item identifier based on a registered scheme.</t>
  </si>
  <si>
    <t>10986700</t>
  </si>
  <si>
    <t>https://docs.peppol.eu/poacc/billing/3.0/syntax/ubl-invoice/cac-InvoiceLine/cac-Item/cac-StandardItemIdentification/cbc-ID/</t>
  </si>
  <si>
    <t>Item standard identifier identification scheme identifier</t>
  </si>
  <si>
    <t>ubl:Invoice/cac:InvoiceLine/cac:Item/cac:StandardItemIdentification/cbc:ID/@schemeID</t>
  </si>
  <si>
    <t>The identification scheme identifier of the Item standard identifier</t>
  </si>
  <si>
    <t>0160</t>
  </si>
  <si>
    <t>https://docs.peppol.eu/poacc/billing/3.0/syntax/ubl-invoice/cac-InvoiceLine/cac-Item/cac-StandardItemIdentification/cbc-ID/schemeID/</t>
  </si>
  <si>
    <t>ORIGIN COUNTRY</t>
  </si>
  <si>
    <t>cac:OriginCountry</t>
  </si>
  <si>
    <t>ubl:Invoice/cac:InvoiceLine/cac:Item/cac:OriginCountry</t>
  </si>
  <si>
    <t>https://docs.peppol.eu/poacc/billing/3.0/syntax/ubl-invoice/cac-InvoiceLine/cac-Item/cac-OriginCountry/</t>
  </si>
  <si>
    <t>Item country of origin</t>
  </si>
  <si>
    <t>ubl:Invoice/cac:InvoiceLine/cac:Item/cac:OriginCountry/cbc:IdentificationCode</t>
  </si>
  <si>
    <t>The code identifying the country from which the item originates.</t>
  </si>
  <si>
    <t>CN</t>
  </si>
  <si>
    <t>https://docs.peppol.eu/poacc/billing/3.0/syntax/ubl-invoice/cac-InvoiceLine/cac-Item/cac-OriginCountry/cbc-IdentificationCode/</t>
  </si>
  <si>
    <t>COMMODITY CLASSIFICATION</t>
  </si>
  <si>
    <t>cac:CommodityClassification</t>
  </si>
  <si>
    <t>ubl:Invoice/cac:InvoiceLine/cac:Item/cac:CommodityClassification</t>
  </si>
  <si>
    <t>https://docs.peppol.eu/poacc/billing/3.0/syntax/ubl-invoice/cac-InvoiceLine/cac-Item/cac-CommodityClassification/</t>
  </si>
  <si>
    <t>Item classification identifier</t>
  </si>
  <si>
    <t>cbc:ItemClassificationCode</t>
  </si>
  <si>
    <t>ubl:Invoice/cac:InvoiceLine/cac:Item/cac:CommodityClassification/cbc:ItemClassificationCode</t>
  </si>
  <si>
    <t>A code for classifying the item by its type or nature.</t>
  </si>
  <si>
    <t>https://docs.peppol.eu/poacc/billing/3.0/syntax/ubl-invoice/cac-InvoiceLine/cac-Item/cac-CommodityClassification/cbc-ItemClassificationCode/</t>
  </si>
  <si>
    <t>Item classification identifier identification scheme identifier</t>
  </si>
  <si>
    <t>@listID</t>
  </si>
  <si>
    <t>ubl:Invoice/cac:InvoiceLine/cac:Item/cac:CommodityClassification/cbc:ItemClassificationCode/@listID</t>
  </si>
  <si>
    <t>The identification scheme identifier of the Item classification identifier</t>
  </si>
  <si>
    <t>STI</t>
  </si>
  <si>
    <t>https://docs.peppol.eu/poacc/billing/3.0/syntax/ubl-invoice/cac-InvoiceLine/cac-Item/cac-CommodityClassification/cbc-ItemClassificationCode/listID/</t>
  </si>
  <si>
    <t>Item classification identifier version identification scheme identifier</t>
  </si>
  <si>
    <t>@listVersionID</t>
  </si>
  <si>
    <t>ubl:Invoice/cac:InvoiceLine/cac:Item/cac:CommodityClassification/cbc:ItemClassificationCode/@listVersionID</t>
  </si>
  <si>
    <t>The identification scheme version identifier of the Item classification identifier</t>
  </si>
  <si>
    <t>https://docs.peppol.eu/poacc/billing/3.0/syntax/ubl-invoice/cac-InvoiceLine/cac-Item/cac-CommodityClassification/cbc-ItemClassificationCode/listVersionID/</t>
  </si>
  <si>
    <t>LINE VAT INFORMATION</t>
  </si>
  <si>
    <t>cac:ClassifiedTaxCategory</t>
  </si>
  <si>
    <t>ubl:Invoice/cac:InvoiceLine/cac:Item/cac:ClassifiedTaxCategory</t>
  </si>
  <si>
    <t>A group of business terms providing information about the VAT applicable for the goods and services invoiced on the Invoice line.</t>
  </si>
  <si>
    <t>https://docs.peppol.eu/poacc/billing/3.0/syntax/ubl-invoice/cac-InvoiceLine/cac-Item/cac-ClassifiedTaxCategory/</t>
  </si>
  <si>
    <t>Invoiced item VAT category code</t>
  </si>
  <si>
    <t>ubl:Invoice/cac:InvoiceLine/cac:Item/cac:ClassifiedTaxCategory/cbc:ID</t>
  </si>
  <si>
    <t>The VAT category code for the invoiced item.</t>
  </si>
  <si>
    <t>https://docs.peppol.eu/poacc/billing/3.0/syntax/ubl-invoice/cac-InvoiceLine/cac-Item/cac-ClassifiedTaxCategory/cbc-ID/</t>
  </si>
  <si>
    <t>Invoiced item VAT rate</t>
  </si>
  <si>
    <t>ubl:Invoice/cac:InvoiceLine/cac:Item/cac:ClassifiedTaxCategory/cbc:Percent</t>
  </si>
  <si>
    <t>The VAT rate, represented as percentage that applies to the invoiced item.</t>
  </si>
  <si>
    <t>https://docs.peppol.eu/poacc/billing/3.0/syntax/ubl-invoice/cac-InvoiceLine/cac-Item/cac-ClassifiedTaxCategory/cbc-Percent/</t>
  </si>
  <si>
    <t>ubl:Invoice/cac:InvoiceLine/cac:Item/cac:ClassifiedTaxCategory/cac:TaxScheme</t>
  </si>
  <si>
    <t>https://docs.peppol.eu/poacc/billing/3.0/syntax/ubl-invoice/cac-InvoiceLine/cac-Item/cac-ClassifiedTaxCategory/cac-TaxScheme/</t>
  </si>
  <si>
    <t>ubl:Invoice/cac:InvoiceLine/cac:Item/cac:ClassifiedTaxCategory/cac:TaxScheme/cbc:ID</t>
  </si>
  <si>
    <t>https://docs.peppol.eu/poacc/billing/3.0/syntax/ubl-invoice/cac-InvoiceLine/cac-Item/cac-ClassifiedTaxCategory/cac-TaxScheme/cbc-ID/</t>
  </si>
  <si>
    <t>ITEM ATTRIBUTES</t>
  </si>
  <si>
    <t>cac:AdditionalItemProperty</t>
  </si>
  <si>
    <t>ubl:Invoice/cac:InvoiceLine/cac:Item/cac:AdditionalItemProperty</t>
  </si>
  <si>
    <t>A group of business terms providing information about properties of the goods and services invoiced.</t>
  </si>
  <si>
    <t>https://docs.peppol.eu/poacc/billing/3.0/syntax/ubl-invoice/cac-InvoiceLine/cac-Item/cac-AdditionalItemProperty/</t>
  </si>
  <si>
    <t>Item attribute name</t>
  </si>
  <si>
    <t>ubl:Invoice/cac:InvoiceLine/cac:Item/cac:AdditionalItemProperty/cbc:Name</t>
  </si>
  <si>
    <t>The name of the attribute or property of the item.</t>
  </si>
  <si>
    <t>Color</t>
  </si>
  <si>
    <t>https://docs.peppol.eu/poacc/billing/3.0/syntax/ubl-invoice/cac-InvoiceLine/cac-Item/cac-AdditionalItemProperty/cbc-Name/</t>
  </si>
  <si>
    <t>Item attribute value</t>
  </si>
  <si>
    <t>cbc:Value</t>
  </si>
  <si>
    <t>ubl:Invoice/cac:InvoiceLine/cac:Item/cac:AdditionalItemProperty/cbc:Value</t>
  </si>
  <si>
    <t>The value of the attribute or property of the item.</t>
  </si>
  <si>
    <t>Black</t>
  </si>
  <si>
    <t>https://docs.peppol.eu/poacc/billing/3.0/syntax/ubl-invoice/cac-InvoiceLine/cac-Item/cac-AdditionalItemProperty/cbc-Value/</t>
  </si>
  <si>
    <t>PRICE DETAILS</t>
  </si>
  <si>
    <t>cac:Price</t>
  </si>
  <si>
    <t>ubl:Invoice/cac:InvoiceLine/cac:Price</t>
  </si>
  <si>
    <t>A group of business terms providing information about the price applied for the goods and services invoiced on the Invoice line.</t>
  </si>
  <si>
    <t>https://docs.peppol.eu/poacc/billing/3.0/syntax/ubl-invoice/cac-InvoiceLine/cac-Price/</t>
  </si>
  <si>
    <t>Item net price</t>
  </si>
  <si>
    <t>cbc:PriceAmount</t>
  </si>
  <si>
    <t>ubl:Invoice/cac:InvoiceLine/cac:Price/cbc:PriceAmount</t>
  </si>
  <si>
    <t>The price of an item, exclusive of VAT, after subtracting item price discount. The Item net price has to be equal with the Item gross price less the Item price discount, if they are both provided. Item price can not be negative.</t>
  </si>
  <si>
    <t>23.45</t>
  </si>
  <si>
    <t>https://docs.peppol.eu/poacc/billing/3.0/syntax/ubl-invoice/cac-InvoiceLine/cac-Price/cbc-PriceAmount/</t>
  </si>
  <si>
    <t>ubl:Invoice/cac:InvoiceLine/cac:Price/cbc:PriceAmount/@currencyID</t>
  </si>
  <si>
    <t>https://docs.peppol.eu/poacc/billing/3.0/syntax/ubl-invoice/cac-InvoiceLine/cac-Price/cbc-PriceAmount/currencyID/</t>
  </si>
  <si>
    <t>Item price base quantity</t>
  </si>
  <si>
    <t>cbc:BaseQuantity</t>
  </si>
  <si>
    <t>ubl:Invoice/cac:InvoiceLine/cac:Price/cbc:BaseQuantity</t>
  </si>
  <si>
    <t>The number of item units to which the price applies.</t>
  </si>
  <si>
    <t>https://docs.peppol.eu/poacc/billing/3.0/syntax/ubl-invoice/cac-InvoiceLine/cac-Price/cbc-BaseQuantity/</t>
  </si>
  <si>
    <t>Item price base quantity unit of measure code</t>
  </si>
  <si>
    <t>ubl:Invoice/cac:InvoiceLine/cac:Price/cbc:BaseQuantity/@unitCode</t>
  </si>
  <si>
    <t>The unit of measure that applies to the Item price base quantity, must be the same as the unit code of the Invoiced/credited quantity. Codes for unit of packaging from UNECE Recommendation No. 21 can be used in accordance with the descriptions in the "Intro" section of UN/ECE Recommendation 20, Revision 11 (2015): The 2 character alphanumeric code values in UNECE Recommendation 21 shall be used. To avoid duplication with existing code values in UNECE Recommendation No. 20, each code value from UNECE Recommendation 21 shall be prefixed with an “X”, resulting in a 3 alphanumeric code when used as a unit of measure.</t>
  </si>
  <si>
    <t>https://docs.peppol.eu/poacc/billing/3.0/syntax/ubl-invoice/cac-InvoiceLine/cac-Price/cbc-BaseQuantity/unitCode/</t>
  </si>
  <si>
    <t>ALLOWANCE</t>
  </si>
  <si>
    <t>ubl:Invoice/cac:InvoiceLine/cac:Price/cac:AllowanceCharge</t>
  </si>
  <si>
    <t>https://docs.peppol.eu/poacc/billing/3.0/syntax/ubl-invoice/cac-InvoiceLine/cac-Price/cac-AllowanceCharge/</t>
  </si>
  <si>
    <t>ubl:Invoice/cac:InvoiceLine/cac:Price/cac:AllowanceCharge/cbc:ChargeIndicator</t>
  </si>
  <si>
    <t>Mandatory element. Value must be “false”</t>
  </si>
  <si>
    <t>https://docs.peppol.eu/poacc/billing/3.0/syntax/ubl-invoice/cac-InvoiceLine/cac-Price/cac-AllowanceCharge/cbc-ChargeIndicator/</t>
  </si>
  <si>
    <t>Item price discount</t>
  </si>
  <si>
    <t>ubl:Invoice/cac:InvoiceLine/cac:Price/cac:AllowanceCharge/cbc:Amount</t>
  </si>
  <si>
    <t>The total discount subtracted from the Item gross price to calculate the Item net price.</t>
  </si>
  <si>
    <t>https://docs.peppol.eu/poacc/billing/3.0/syntax/ubl-invoice/cac-InvoiceLine/cac-Price/cac-AllowanceCharge/cbc-Amount/</t>
  </si>
  <si>
    <t>ubl:Invoice/cac:InvoiceLine/cac:Price/cac:AllowanceCharge/cbc:Amount/@currencyID</t>
  </si>
  <si>
    <t>https://docs.peppol.eu/poacc/billing/3.0/syntax/ubl-invoice/cac-InvoiceLine/cac-Price/cac-AllowanceCharge/cbc-Amount/currencyID/</t>
  </si>
  <si>
    <t>Item gross price</t>
  </si>
  <si>
    <t>ubl:Invoice/cac:InvoiceLine/cac:Price/cac:AllowanceCharge/cbc:BaseAmount</t>
  </si>
  <si>
    <t>The unit price, exclusive of VAT, before subtracting Item price discount, can not be negative</t>
  </si>
  <si>
    <t>123.45</t>
  </si>
  <si>
    <t>https://docs.peppol.eu/poacc/billing/3.0/syntax/ubl-invoice/cac-InvoiceLine/cac-Price/cac-AllowanceCharge/cbc-BaseAmount/</t>
  </si>
  <si>
    <t>ubl:Invoice/cac:InvoiceLine/cac:Price/cac:AllowanceCharge/cbc:BaseAmount/@currencyID</t>
  </si>
  <si>
    <t>https://docs.peppol.eu/poacc/billing/3.0/syntax/ubl-invoice/cac-InvoiceLine/cac-Price/cac-AllowanceCharge/cbc-BaseAmount/currencyID/</t>
  </si>
  <si>
    <t>ubl:CreditNote</t>
  </si>
  <si>
    <t>https://docs.peppol.eu/poacc/billing/3.0/syntax/ubl-creditnote/</t>
  </si>
  <si>
    <t>ubl:CreditNote/cbc:CustomizationID</t>
  </si>
  <si>
    <t>https://docs.peppol.eu/poacc/billing/3.0/syntax/ubl-creditnote/cbc-CustomizationID/</t>
  </si>
  <si>
    <t>ubl:CreditNote/cbc:ProfileID</t>
  </si>
  <si>
    <t>https://docs.peppol.eu/poacc/billing/3.0/syntax/ubl-creditnote/cbc-ProfileID/</t>
  </si>
  <si>
    <t>ubl:CreditNote/cbc:ID</t>
  </si>
  <si>
    <t>https://docs.peppol.eu/poacc/billing/3.0/syntax/ubl-creditnote/cbc-ID/</t>
  </si>
  <si>
    <t>ubl:CreditNote/cbc:IssueDate</t>
  </si>
  <si>
    <t>https://docs.peppol.eu/poacc/billing/3.0/syntax/ubl-creditnote/cbc-IssueDate/</t>
  </si>
  <si>
    <t>ubl:CreditNote/cbc:TaxPointDate</t>
  </si>
  <si>
    <t>https://docs.peppol.eu/poacc/billing/3.0/syntax/ubl-creditnote/cbc-TaxPointDate/</t>
  </si>
  <si>
    <t>cbc:CreditNoteTypeCode</t>
  </si>
  <si>
    <t>ubl:CreditNote/cbc:CreditNoteTypeCode</t>
  </si>
  <si>
    <t>381</t>
  </si>
  <si>
    <t>https://docs.peppol.eu/poacc/billing/3.0/syntax/ubl-creditnote/cbc-CreditNoteTypeCode/</t>
  </si>
  <si>
    <t>ubl:CreditNote/cbc:Note</t>
  </si>
  <si>
    <t>A textual note that gives unstructured information that is relevant to the Invoice as a whole. Such as the reason for any correction or assignment note in case the invoice has been factored. The element is not repeatable, except when both the Buyer and Seller are German, in which case the element can be repeated to meet specific national requirements.</t>
  </si>
  <si>
    <t>https://docs.peppol.eu/poacc/billing/3.0/syntax/ubl-creditnote/cbc-Note/</t>
  </si>
  <si>
    <t>ubl:CreditNote/cbc:DocumentCurrencyCode</t>
  </si>
  <si>
    <t>https://docs.peppol.eu/poacc/billing/3.0/syntax/ubl-creditnote/cbc-DocumentCurrencyCode/</t>
  </si>
  <si>
    <t>ubl:CreditNote/cbc:TaxCurrencyCode</t>
  </si>
  <si>
    <t>https://docs.peppol.eu/poacc/billing/3.0/syntax/ubl-creditnote/cbc-TaxCurrencyCode/</t>
  </si>
  <si>
    <t>ubl:CreditNote/cbc:AccountingCost</t>
  </si>
  <si>
    <t>https://docs.peppol.eu/poacc/billing/3.0/syntax/ubl-creditnote/cbc-AccountingCost/</t>
  </si>
  <si>
    <t>ubl:CreditNote/cbc:BuyerReference</t>
  </si>
  <si>
    <t>https://docs.peppol.eu/poacc/billing/3.0/syntax/ubl-creditnote/cbc-BuyerReference/</t>
  </si>
  <si>
    <t>ubl:CreditNote/cac:InvoicePeriod</t>
  </si>
  <si>
    <t>https://docs.peppol.eu/poacc/billing/3.0/syntax/ubl-creditnote/cac-InvoicePeriod/</t>
  </si>
  <si>
    <t>ubl:CreditNote/cac:InvoicePeriod/cbc:StartDate</t>
  </si>
  <si>
    <t>https://docs.peppol.eu/poacc/billing/3.0/syntax/ubl-creditnote/cac-InvoicePeriod/cbc-StartDate/</t>
  </si>
  <si>
    <t>ubl:CreditNote/cac:InvoicePeriod/cbc:EndDate</t>
  </si>
  <si>
    <t>https://docs.peppol.eu/poacc/billing/3.0/syntax/ubl-creditnote/cac-InvoicePeriod/cbc-EndDate/</t>
  </si>
  <si>
    <t>ubl:CreditNote/cac:InvoicePeriod/cbc:DescriptionCode</t>
  </si>
  <si>
    <t>https://docs.peppol.eu/poacc/billing/3.0/syntax/ubl-creditnote/cac-InvoicePeriod/cbc-DescriptionCode/</t>
  </si>
  <si>
    <t>ubl:CreditNote/cac:OrderReference</t>
  </si>
  <si>
    <t>https://docs.peppol.eu/poacc/billing/3.0/syntax/ubl-creditnote/cac-OrderReference/</t>
  </si>
  <si>
    <t>ubl:CreditNote/cac:OrderReference/cbc:ID</t>
  </si>
  <si>
    <t>An identifier of a referenced purchase order, issued by the Buyer. An invoice must have buyer reference (BT-10) or purchase order reference. In cases where sales order reference is provided, but there's no purchase order reference, then use value "NA" as this element is mandatory in UBL</t>
  </si>
  <si>
    <t>https://docs.peppol.eu/poacc/billing/3.0/syntax/ubl-creditnote/cac-OrderReference/cbc-ID/</t>
  </si>
  <si>
    <t>ubl:CreditNote/cac:OrderReference/cbc:SalesOrderID</t>
  </si>
  <si>
    <t>An identifier of a referenced Sales order, issued by the Seller. In cases where sales order reference is provided, but there's no purchase order reference, then set cac:OrderReference/cbc:ID to value "NA" as this element is mandatory in UBL.</t>
  </si>
  <si>
    <t>https://docs.peppol.eu/poacc/billing/3.0/syntax/ubl-creditnote/cac-OrderReference/cbc-SalesOrderID/</t>
  </si>
  <si>
    <t>ubl:CreditNote/cac:BillingReference</t>
  </si>
  <si>
    <t>https://docs.peppol.eu/poacc/billing/3.0/syntax/ubl-creditnote/cac-BillingReference/</t>
  </si>
  <si>
    <t>ubl:CreditNote/cac:BillingReference/cac:InvoiceDocumentReference</t>
  </si>
  <si>
    <t>https://docs.peppol.eu/poacc/billing/3.0/syntax/ubl-creditnote/cac-BillingReference/cac-InvoiceDocumentReference/</t>
  </si>
  <si>
    <t>ubl:CreditNote/cac:BillingReference/cac:InvoiceDocumentReference/cbc:ID</t>
  </si>
  <si>
    <t>https://docs.peppol.eu/poacc/billing/3.0/syntax/ubl-creditnote/cac-BillingReference/cac-InvoiceDocumentReference/cbc-ID/</t>
  </si>
  <si>
    <t>ubl:CreditNote/cac:BillingReference/cac:InvoiceDocumentReference/cbc:IssueDate</t>
  </si>
  <si>
    <t>https://docs.peppol.eu/poacc/billing/3.0/syntax/ubl-creditnote/cac-BillingReference/cac-InvoiceDocumentReference/cbc-IssueDate/</t>
  </si>
  <si>
    <t>ubl:CreditNote/cac:DespatchDocumentReference</t>
  </si>
  <si>
    <t>https://docs.peppol.eu/poacc/billing/3.0/syntax/ubl-creditnote/cac-DespatchDocumentReference/</t>
  </si>
  <si>
    <t>ubl:CreditNote/cac:DespatchDocumentReference/cbc:ID</t>
  </si>
  <si>
    <t>https://docs.peppol.eu/poacc/billing/3.0/syntax/ubl-creditnote/cac-DespatchDocumentReference/cbc-ID/</t>
  </si>
  <si>
    <t>ubl:CreditNote/cac:ReceiptDocumentReference</t>
  </si>
  <si>
    <t>https://docs.peppol.eu/poacc/billing/3.0/syntax/ubl-creditnote/cac-ReceiptDocumentReference/</t>
  </si>
  <si>
    <t>ubl:CreditNote/cac:ReceiptDocumentReference/cbc:ID</t>
  </si>
  <si>
    <t>https://docs.peppol.eu/poacc/billing/3.0/syntax/ubl-creditnote/cac-ReceiptDocumentReference/cbc-ID/</t>
  </si>
  <si>
    <t>ubl:CreditNote/cac:ContractDocumentReference</t>
  </si>
  <si>
    <t>https://docs.peppol.eu/poacc/billing/3.0/syntax/ubl-creditnote/cac-ContractDocumentReference/</t>
  </si>
  <si>
    <t>ubl:CreditNote/cac:ContractDocumentReference/cbc:ID</t>
  </si>
  <si>
    <t>https://docs.peppol.eu/poacc/billing/3.0/syntax/ubl-creditnote/cac-ContractDocumentReference/cbc-ID/</t>
  </si>
  <si>
    <t>ubl:CreditNote/cac:AdditionalDocumentReference</t>
  </si>
  <si>
    <t>https://docs.peppol.eu/poacc/billing/3.0/syntax/ubl-creditnote/cac-AdditionalDocumentReference/</t>
  </si>
  <si>
    <t>Invoiced object identifier, Supporting document reference or project reference</t>
  </si>
  <si>
    <t>ubl:CreditNote/cac:AdditionalDocumentReference/cbc:ID</t>
  </si>
  <si>
    <t>An identifier for an object on which the invoice is based (with DocumentTypeCode=130), given by the Seller, the identifier for the supporting document or the project reference identifier (DocumentTypeCode=50).</t>
  </si>
  <si>
    <t>https://docs.peppol.eu/poacc/billing/3.0/syntax/ubl-creditnote/cac-AdditionalDocumentReference/cbc-ID/</t>
  </si>
  <si>
    <t>ubl:CreditNote/cac:AdditionalDocumentReference/cbc:ID/@schemeID</t>
  </si>
  <si>
    <t>https://docs.peppol.eu/poacc/billing/3.0/syntax/ubl-creditnote/cac-AdditionalDocumentReference/cbc-ID/schemeID/</t>
  </si>
  <si>
    <t>ubl:CreditNote/cac:AdditionalDocumentReference/cbc:DocumentTypeCode</t>
  </si>
  <si>
    <t>Code "130" MUST be used to indicate an invoice object reference and code "50" for project reference. Element is not used for other additional documents</t>
  </si>
  <si>
    <t>https://docs.peppol.eu/poacc/billing/3.0/syntax/ubl-creditnote/cac-AdditionalDocumentReference/cbc-DocumentTypeCode/</t>
  </si>
  <si>
    <t>ubl:CreditNote/cac:AdditionalDocumentReference/cbc:DocumentDescription</t>
  </si>
  <si>
    <t>https://docs.peppol.eu/poacc/billing/3.0/syntax/ubl-creditnote/cac-AdditionalDocumentReference/cbc-DocumentDescription/</t>
  </si>
  <si>
    <t>ubl:CreditNote/cac:AdditionalDocumentReference/cac:Attachment</t>
  </si>
  <si>
    <t>https://docs.peppol.eu/poacc/billing/3.0/syntax/ubl-creditnote/cac-AdditionalDocumentReference/cac-Attachment/</t>
  </si>
  <si>
    <t>ubl:CreditNote/cac:AdditionalDocumentReference/cac:Attachment/cbc:EmbeddedDocumentBinaryObject</t>
  </si>
  <si>
    <t>https://docs.peppol.eu/poacc/billing/3.0/syntax/ubl-creditnote/cac-AdditionalDocumentReference/cac-Attachment/cbc-EmbeddedDocumentBinaryObject/</t>
  </si>
  <si>
    <t>ubl:CreditNote/cac:AdditionalDocumentReference/cac:Attachment/cbc:EmbeddedDocumentBinaryObject/@mimeCode</t>
  </si>
  <si>
    <t>https://docs.peppol.eu/poacc/billing/3.0/syntax/ubl-creditnote/cac-AdditionalDocumentReference/cac-Attachment/cbc-EmbeddedDocumentBinaryObject/mimeCode/</t>
  </si>
  <si>
    <t>ubl:CreditNote/cac:AdditionalDocumentReference/cac:Attachment/cbc:EmbeddedDocumentBinaryObject/@filename</t>
  </si>
  <si>
    <t>https://docs.peppol.eu/poacc/billing/3.0/syntax/ubl-creditnote/cac-AdditionalDocumentReference/cac-Attachment/cbc-EmbeddedDocumentBinaryObject/filename/</t>
  </si>
  <si>
    <t>ubl:CreditNote/cac:AdditionalDocumentReference/cac:Attachment/cac:ExternalReference</t>
  </si>
  <si>
    <t>https://docs.peppol.eu/poacc/billing/3.0/syntax/ubl-creditnote/cac-AdditionalDocumentReference/cac-Attachment/cac-ExternalReference/</t>
  </si>
  <si>
    <t>ubl:CreditNote/cac:AdditionalDocumentReference/cac:Attachment/cac:ExternalReference/cbc:URI</t>
  </si>
  <si>
    <t>https://docs.peppol.eu/poacc/billing/3.0/syntax/ubl-creditnote/cac-AdditionalDocumentReference/cac-Attachment/cac-ExternalReference/cbc-URI/</t>
  </si>
  <si>
    <t>ubl:CreditNote/cac:OriginatorDocumentReference</t>
  </si>
  <si>
    <t>https://docs.peppol.eu/poacc/billing/3.0/syntax/ubl-creditnote/cac-OriginatorDocumentReference/</t>
  </si>
  <si>
    <t>ubl:CreditNote/cac:OriginatorDocumentReference/cbc:ID</t>
  </si>
  <si>
    <t>https://docs.peppol.eu/poacc/billing/3.0/syntax/ubl-creditnote/cac-OriginatorDocumentReference/cbc-ID/</t>
  </si>
  <si>
    <t>ubl:CreditNote/cac:AccountingSupplierParty</t>
  </si>
  <si>
    <t>https://docs.peppol.eu/poacc/billing/3.0/syntax/ubl-creditnote/cac-AccountingSupplierParty/</t>
  </si>
  <si>
    <t>ubl:CreditNote/cac:AccountingSupplierParty/cac:Party</t>
  </si>
  <si>
    <t>https://docs.peppol.eu/poacc/billing/3.0/syntax/ubl-creditnote/cac-AccountingSupplierParty/cac-Party/</t>
  </si>
  <si>
    <t>ubl:CreditNote/cac:AccountingSupplierParty/cac:Party/cbc:EndpointID</t>
  </si>
  <si>
    <t>https://docs.peppol.eu/poacc/billing/3.0/syntax/ubl-creditnote/cac-AccountingSupplierParty/cac-Party/cbc-EndpointID/</t>
  </si>
  <si>
    <t>ubl:CreditNote/cac:AccountingSupplierParty/cac:Party/cbc:EndpointID/@schemeID</t>
  </si>
  <si>
    <t>https://docs.peppol.eu/poacc/billing/3.0/syntax/ubl-creditnote/cac-AccountingSupplierParty/cac-Party/cbc-EndpointID/schemeID/</t>
  </si>
  <si>
    <t>ubl:CreditNote/cac:AccountingSupplierParty/cac:Party/cac:PartyIdentification</t>
  </si>
  <si>
    <t>https://docs.peppol.eu/poacc/billing/3.0/syntax/ubl-creditnote/cac-AccountingSupplierParty/cac-Party/cac-PartyIdentification/</t>
  </si>
  <si>
    <t>ubl:CreditNote/cac:AccountingSupplierParty/cac:Party/cac:PartyIdentification/cbc:ID</t>
  </si>
  <si>
    <t>https://docs.peppol.eu/poacc/billing/3.0/syntax/ubl-creditnote/cac-AccountingSupplierParty/cac-Party/cac-PartyIdentification/cbc-ID/</t>
  </si>
  <si>
    <t>ubl:CreditNote/cac:AccountingSupplierParty/cac:Party/cac:PartyIdentification/cbc:ID/@schemeID</t>
  </si>
  <si>
    <t>https://docs.peppol.eu/poacc/billing/3.0/syntax/ubl-creditnote/cac-AccountingSupplierParty/cac-Party/cac-PartyIdentification/cbc-ID/schemeID/</t>
  </si>
  <si>
    <t>ubl:CreditNote/cac:AccountingSupplierParty/cac:Party/cac:PartyName</t>
  </si>
  <si>
    <t>https://docs.peppol.eu/poacc/billing/3.0/syntax/ubl-creditnote/cac-AccountingSupplierParty/cac-Party/cac-PartyName/</t>
  </si>
  <si>
    <t>ubl:CreditNote/cac:AccountingSupplierParty/cac:Party/cac:PartyName/cbc:Name</t>
  </si>
  <si>
    <t>https://docs.peppol.eu/poacc/billing/3.0/syntax/ubl-creditnote/cac-AccountingSupplierParty/cac-Party/cac-PartyName/cbc-Name/</t>
  </si>
  <si>
    <t>ubl:CreditNote/cac:AccountingSupplierParty/cac:Party/cac:PostalAddress</t>
  </si>
  <si>
    <t>https://docs.peppol.eu/poacc/billing/3.0/syntax/ubl-creditnote/cac-AccountingSupplierParty/cac-Party/cac-PostalAddress/</t>
  </si>
  <si>
    <t>ubl:CreditNote/cac:AccountingSupplierParty/cac:Party/cac:PostalAddress/cbc:StreetName</t>
  </si>
  <si>
    <t>https://docs.peppol.eu/poacc/billing/3.0/syntax/ubl-creditnote/cac-AccountingSupplierParty/cac-Party/cac-PostalAddress/cbc-StreetName/</t>
  </si>
  <si>
    <t>ubl:CreditNote/cac:AccountingSupplierParty/cac:Party/cac:PostalAddress/cbc:AdditionalStreetName</t>
  </si>
  <si>
    <t>https://docs.peppol.eu/poacc/billing/3.0/syntax/ubl-creditnote/cac-AccountingSupplierParty/cac-Party/cac-PostalAddress/cbc-AdditionalStreetName/</t>
  </si>
  <si>
    <t>ubl:CreditNote/cac:AccountingSupplierParty/cac:Party/cac:PostalAddress/cbc:CityName</t>
  </si>
  <si>
    <t>https://docs.peppol.eu/poacc/billing/3.0/syntax/ubl-creditnote/cac-AccountingSupplierParty/cac-Party/cac-PostalAddress/cbc-CityName/</t>
  </si>
  <si>
    <t>ubl:CreditNote/cac:AccountingSupplierParty/cac:Party/cac:PostalAddress/cbc:PostalZone</t>
  </si>
  <si>
    <t>https://docs.peppol.eu/poacc/billing/3.0/syntax/ubl-creditnote/cac-AccountingSupplierParty/cac-Party/cac-PostalAddress/cbc-PostalZone/</t>
  </si>
  <si>
    <t>ubl:CreditNote/cac:AccountingSupplierParty/cac:Party/cac:PostalAddress/cbc:CountrySubentity</t>
  </si>
  <si>
    <t>https://docs.peppol.eu/poacc/billing/3.0/syntax/ubl-creditnote/cac-AccountingSupplierParty/cac-Party/cac-PostalAddress/cbc-CountrySubentity/</t>
  </si>
  <si>
    <t>ubl:CreditNote/cac:AccountingSupplierParty/cac:Party/cac:PostalAddress/cac:AddressLine</t>
  </si>
  <si>
    <t>https://docs.peppol.eu/poacc/billing/3.0/syntax/ubl-creditnote/cac-AccountingSupplierParty/cac-Party/cac-PostalAddress/cac-AddressLine/</t>
  </si>
  <si>
    <t>ubl:CreditNote/cac:AccountingSupplierParty/cac:Party/cac:PostalAddress/cac:AddressLine/cbc:Line</t>
  </si>
  <si>
    <t>https://docs.peppol.eu/poacc/billing/3.0/syntax/ubl-creditnote/cac-AccountingSupplierParty/cac-Party/cac-PostalAddress/cac-AddressLine/cbc-Line/</t>
  </si>
  <si>
    <t>ubl:CreditNote/cac:AccountingSupplierParty/cac:Party/cac:PostalAddress/cac:Country</t>
  </si>
  <si>
    <t>https://docs.peppol.eu/poacc/billing/3.0/syntax/ubl-creditnote/cac-AccountingSupplierParty/cac-Party/cac-PostalAddress/cac-Country/</t>
  </si>
  <si>
    <t>ubl:CreditNote/cac:AccountingSupplierParty/cac:Party/cac:PostalAddress/cac:Country/cbc:IdentificationCode</t>
  </si>
  <si>
    <t>https://docs.peppol.eu/poacc/billing/3.0/syntax/ubl-creditnote/cac-AccountingSupplierParty/cac-Party/cac-PostalAddress/cac-Country/cbc-IdentificationCode/</t>
  </si>
  <si>
    <t>ubl:CreditNote/cac:AccountingSupplierParty/cac:Party/cac:PartyTaxScheme</t>
  </si>
  <si>
    <t>https://docs.peppol.eu/poacc/billing/3.0/syntax/ubl-creditnote/cac-AccountingSupplierParty/cac-Party/cac-PartyTaxScheme/</t>
  </si>
  <si>
    <t>ubl:CreditNote/cac:AccountingSupplierParty/cac:Party/cac:PartyTaxScheme/cbc:CompanyID</t>
  </si>
  <si>
    <t>https://docs.peppol.eu/poacc/billing/3.0/syntax/ubl-creditnote/cac-AccountingSupplierParty/cac-Party/cac-PartyTaxScheme/cbc-CompanyID/</t>
  </si>
  <si>
    <t>ubl:CreditNote/cac:AccountingSupplierParty/cac:Party/cac:PartyTaxScheme/cac:TaxScheme</t>
  </si>
  <si>
    <t>https://docs.peppol.eu/poacc/billing/3.0/syntax/ubl-creditnote/cac-AccountingSupplierParty/cac-Party/cac-PartyTaxScheme/cac-TaxScheme/</t>
  </si>
  <si>
    <t>ubl:CreditNote/cac:AccountingSupplierParty/cac:Party/cac:PartyTaxScheme/cac:TaxScheme/cbc:ID</t>
  </si>
  <si>
    <t>https://docs.peppol.eu/poacc/billing/3.0/syntax/ubl-creditnote/cac-AccountingSupplierParty/cac-Party/cac-PartyTaxScheme/cac-TaxScheme/cbc-ID/</t>
  </si>
  <si>
    <t>ubl:CreditNote/cac:AccountingSupplierParty/cac:Party/cac:PartyLegalEntity</t>
  </si>
  <si>
    <t>https://docs.peppol.eu/poacc/billing/3.0/syntax/ubl-creditnote/cac-AccountingSupplierParty/cac-Party/cac-PartyLegalEntity/</t>
  </si>
  <si>
    <t>ubl:CreditNote/cac:AccountingSupplierParty/cac:Party/cac:PartyLegalEntity/cbc:RegistrationName</t>
  </si>
  <si>
    <t>https://docs.peppol.eu/poacc/billing/3.0/syntax/ubl-creditnote/cac-AccountingSupplierParty/cac-Party/cac-PartyLegalEntity/cbc-RegistrationName/</t>
  </si>
  <si>
    <t>ubl:CreditNote/cac:AccountingSupplierParty/cac:Party/cac:PartyLegalEntity/cbc:CompanyID</t>
  </si>
  <si>
    <t>https://docs.peppol.eu/poacc/billing/3.0/syntax/ubl-creditnote/cac-AccountingSupplierParty/cac-Party/cac-PartyLegalEntity/cbc-CompanyID/</t>
  </si>
  <si>
    <t>ubl:CreditNote/cac:AccountingSupplierParty/cac:Party/cac:PartyLegalEntity/cbc:CompanyID/@schemeID</t>
  </si>
  <si>
    <t>https://docs.peppol.eu/poacc/billing/3.0/syntax/ubl-creditnote/cac-AccountingSupplierParty/cac-Party/cac-PartyLegalEntity/cbc-CompanyID/schemeID/</t>
  </si>
  <si>
    <t>ubl:CreditNote/cac:AccountingSupplierParty/cac:Party/cac:PartyLegalEntity/cbc:CompanyLegalForm</t>
  </si>
  <si>
    <t>https://docs.peppol.eu/poacc/billing/3.0/syntax/ubl-creditnote/cac-AccountingSupplierParty/cac-Party/cac-PartyLegalEntity/cbc-CompanyLegalForm/</t>
  </si>
  <si>
    <t>ubl:CreditNote/cac:AccountingSupplierParty/cac:Party/cac:Contact</t>
  </si>
  <si>
    <t>https://docs.peppol.eu/poacc/billing/3.0/syntax/ubl-creditnote/cac-AccountingSupplierParty/cac-Party/cac-Contact/</t>
  </si>
  <si>
    <t>ubl:CreditNote/cac:AccountingSupplierParty/cac:Party/cac:Contact/cbc:Name</t>
  </si>
  <si>
    <t>https://docs.peppol.eu/poacc/billing/3.0/syntax/ubl-creditnote/cac-AccountingSupplierParty/cac-Party/cac-Contact/cbc-Name/</t>
  </si>
  <si>
    <t>ubl:CreditNote/cac:AccountingSupplierParty/cac:Party/cac:Contact/cbc:Telephone</t>
  </si>
  <si>
    <t>https://docs.peppol.eu/poacc/billing/3.0/syntax/ubl-creditnote/cac-AccountingSupplierParty/cac-Party/cac-Contact/cbc-Telephone/</t>
  </si>
  <si>
    <t>ubl:CreditNote/cac:AccountingSupplierParty/cac:Party/cac:Contact/cbc:ElectronicMail</t>
  </si>
  <si>
    <t>https://docs.peppol.eu/poacc/billing/3.0/syntax/ubl-creditnote/cac-AccountingSupplierParty/cac-Party/cac-Contact/cbc-ElectronicMail/</t>
  </si>
  <si>
    <t>ubl:CreditNote/cac:AccountingCustomerParty</t>
  </si>
  <si>
    <t>https://docs.peppol.eu/poacc/billing/3.0/syntax/ubl-creditnote/cac-AccountingCustomerParty/</t>
  </si>
  <si>
    <t>ubl:CreditNote/cac:AccountingCustomerParty/cac:Party</t>
  </si>
  <si>
    <t>https://docs.peppol.eu/poacc/billing/3.0/syntax/ubl-creditnote/cac-AccountingCustomerParty/cac-Party/</t>
  </si>
  <si>
    <t>ubl:CreditNote/cac:AccountingCustomerParty/cac:Party/cbc:EndpointID</t>
  </si>
  <si>
    <t>https://docs.peppol.eu/poacc/billing/3.0/syntax/ubl-creditnote/cac-AccountingCustomerParty/cac-Party/cbc-EndpointID/</t>
  </si>
  <si>
    <t>ubl:CreditNote/cac:AccountingCustomerParty/cac:Party/cbc:EndpointID/@schemeID</t>
  </si>
  <si>
    <t>https://docs.peppol.eu/poacc/billing/3.0/syntax/ubl-creditnote/cac-AccountingCustomerParty/cac-Party/cbc-EndpointID/schemeID/</t>
  </si>
  <si>
    <t>ubl:CreditNote/cac:AccountingCustomerParty/cac:Party/cac:PartyIdentification</t>
  </si>
  <si>
    <t>https://docs.peppol.eu/poacc/billing/3.0/syntax/ubl-creditnote/cac-AccountingCustomerParty/cac-Party/cac-PartyIdentification/</t>
  </si>
  <si>
    <t>ubl:CreditNote/cac:AccountingCustomerParty/cac:Party/cac:PartyIdentification/cbc:ID</t>
  </si>
  <si>
    <t>https://docs.peppol.eu/poacc/billing/3.0/syntax/ubl-creditnote/cac-AccountingCustomerParty/cac-Party/cac-PartyIdentification/cbc-ID/</t>
  </si>
  <si>
    <t>ubl:CreditNote/cac:AccountingCustomerParty/cac:Party/cac:PartyIdentification/cbc:ID/@schemeID</t>
  </si>
  <si>
    <t>https://docs.peppol.eu/poacc/billing/3.0/syntax/ubl-creditnote/cac-AccountingCustomerParty/cac-Party/cac-PartyIdentification/cbc-ID/schemeID/</t>
  </si>
  <si>
    <t>ubl:CreditNote/cac:AccountingCustomerParty/cac:Party/cac:PartyName</t>
  </si>
  <si>
    <t>https://docs.peppol.eu/poacc/billing/3.0/syntax/ubl-creditnote/cac-AccountingCustomerParty/cac-Party/cac-PartyName/</t>
  </si>
  <si>
    <t>ubl:CreditNote/cac:AccountingCustomerParty/cac:Party/cac:PartyName/cbc:Name</t>
  </si>
  <si>
    <t>https://docs.peppol.eu/poacc/billing/3.0/syntax/ubl-creditnote/cac-AccountingCustomerParty/cac-Party/cac-PartyName/cbc-Name/</t>
  </si>
  <si>
    <t>ubl:CreditNote/cac:AccountingCustomerParty/cac:Party/cac:PostalAddress</t>
  </si>
  <si>
    <t>https://docs.peppol.eu/poacc/billing/3.0/syntax/ubl-creditnote/cac-AccountingCustomerParty/cac-Party/cac-PostalAddress/</t>
  </si>
  <si>
    <t>ubl:CreditNote/cac:AccountingCustomerParty/cac:Party/cac:PostalAddress/cbc:StreetName</t>
  </si>
  <si>
    <t>https://docs.peppol.eu/poacc/billing/3.0/syntax/ubl-creditnote/cac-AccountingCustomerParty/cac-Party/cac-PostalAddress/cbc-StreetName/</t>
  </si>
  <si>
    <t>ubl:CreditNote/cac:AccountingCustomerParty/cac:Party/cac:PostalAddress/cbc:AdditionalStreetName</t>
  </si>
  <si>
    <t>https://docs.peppol.eu/poacc/billing/3.0/syntax/ubl-creditnote/cac-AccountingCustomerParty/cac-Party/cac-PostalAddress/cbc-AdditionalStreetName/</t>
  </si>
  <si>
    <t>ubl:CreditNote/cac:AccountingCustomerParty/cac:Party/cac:PostalAddress/cbc:CityName</t>
  </si>
  <si>
    <t>https://docs.peppol.eu/poacc/billing/3.0/syntax/ubl-creditnote/cac-AccountingCustomerParty/cac-Party/cac-PostalAddress/cbc-CityName/</t>
  </si>
  <si>
    <t>ubl:CreditNote/cac:AccountingCustomerParty/cac:Party/cac:PostalAddress/cbc:PostalZone</t>
  </si>
  <si>
    <t>https://docs.peppol.eu/poacc/billing/3.0/syntax/ubl-creditnote/cac-AccountingCustomerParty/cac-Party/cac-PostalAddress/cbc-PostalZone/</t>
  </si>
  <si>
    <t>ubl:CreditNote/cac:AccountingCustomerParty/cac:Party/cac:PostalAddress/cbc:CountrySubentity</t>
  </si>
  <si>
    <t>https://docs.peppol.eu/poacc/billing/3.0/syntax/ubl-creditnote/cac-AccountingCustomerParty/cac-Party/cac-PostalAddress/cbc-CountrySubentity/</t>
  </si>
  <si>
    <t>ubl:CreditNote/cac:AccountingCustomerParty/cac:Party/cac:PostalAddress/cac:AddressLine</t>
  </si>
  <si>
    <t>https://docs.peppol.eu/poacc/billing/3.0/syntax/ubl-creditnote/cac-AccountingCustomerParty/cac-Party/cac-PostalAddress/cac-AddressLine/</t>
  </si>
  <si>
    <t>ubl:CreditNote/cac:AccountingCustomerParty/cac:Party/cac:PostalAddress/cac:AddressLine/cbc:Line</t>
  </si>
  <si>
    <t>https://docs.peppol.eu/poacc/billing/3.0/syntax/ubl-creditnote/cac-AccountingCustomerParty/cac-Party/cac-PostalAddress/cac-AddressLine/cbc-Line/</t>
  </si>
  <si>
    <t>ubl:CreditNote/cac:AccountingCustomerParty/cac:Party/cac:PostalAddress/cac:Country</t>
  </si>
  <si>
    <t>https://docs.peppol.eu/poacc/billing/3.0/syntax/ubl-creditnote/cac-AccountingCustomerParty/cac-Party/cac-PostalAddress/cac-Country/</t>
  </si>
  <si>
    <t>ubl:CreditNote/cac:AccountingCustomerParty/cac:Party/cac:PostalAddress/cac:Country/cbc:IdentificationCode</t>
  </si>
  <si>
    <t>https://docs.peppol.eu/poacc/billing/3.0/syntax/ubl-creditnote/cac-AccountingCustomerParty/cac-Party/cac-PostalAddress/cac-Country/cbc-IdentificationCode/</t>
  </si>
  <si>
    <t>ubl:CreditNote/cac:AccountingCustomerParty/cac:Party/cac:PartyTaxScheme</t>
  </si>
  <si>
    <t>https://docs.peppol.eu/poacc/billing/3.0/syntax/ubl-creditnote/cac-AccountingCustomerParty/cac-Party/cac-PartyTaxScheme/</t>
  </si>
  <si>
    <t>ubl:CreditNote/cac:AccountingCustomerParty/cac:Party/cac:PartyTaxScheme/cbc:CompanyID</t>
  </si>
  <si>
    <t>https://docs.peppol.eu/poacc/billing/3.0/syntax/ubl-creditnote/cac-AccountingCustomerParty/cac-Party/cac-PartyTaxScheme/cbc-CompanyID/</t>
  </si>
  <si>
    <t>ubl:CreditNote/cac:AccountingCustomerParty/cac:Party/cac:PartyTaxScheme/cac:TaxScheme</t>
  </si>
  <si>
    <t>https://docs.peppol.eu/poacc/billing/3.0/syntax/ubl-creditnote/cac-AccountingCustomerParty/cac-Party/cac-PartyTaxScheme/cac-TaxScheme/</t>
  </si>
  <si>
    <t>ubl:CreditNote/cac:AccountingCustomerParty/cac:Party/cac:PartyTaxScheme/cac:TaxScheme/cbc:ID</t>
  </si>
  <si>
    <t>https://docs.peppol.eu/poacc/billing/3.0/syntax/ubl-creditnote/cac-AccountingCustomerParty/cac-Party/cac-PartyTaxScheme/cac-TaxScheme/cbc-ID/</t>
  </si>
  <si>
    <t>ubl:CreditNote/cac:AccountingCustomerParty/cac:Party/cac:PartyLegalEntity</t>
  </si>
  <si>
    <t>https://docs.peppol.eu/poacc/billing/3.0/syntax/ubl-creditnote/cac-AccountingCustomerParty/cac-Party/cac-PartyLegalEntity/</t>
  </si>
  <si>
    <t>ubl:CreditNote/cac:AccountingCustomerParty/cac:Party/cac:PartyLegalEntity/cbc:RegistrationName</t>
  </si>
  <si>
    <t>https://docs.peppol.eu/poacc/billing/3.0/syntax/ubl-creditnote/cac-AccountingCustomerParty/cac-Party/cac-PartyLegalEntity/cbc-RegistrationName/</t>
  </si>
  <si>
    <t>ubl:CreditNote/cac:AccountingCustomerParty/cac:Party/cac:PartyLegalEntity/cbc:CompanyID</t>
  </si>
  <si>
    <t>https://docs.peppol.eu/poacc/billing/3.0/syntax/ubl-creditnote/cac-AccountingCustomerParty/cac-Party/cac-PartyLegalEntity/cbc-CompanyID/</t>
  </si>
  <si>
    <t>ubl:CreditNote/cac:AccountingCustomerParty/cac:Party/cac:PartyLegalEntity/cbc:CompanyID/@schemeID</t>
  </si>
  <si>
    <t>https://docs.peppol.eu/poacc/billing/3.0/syntax/ubl-creditnote/cac-AccountingCustomerParty/cac-Party/cac-PartyLegalEntity/cbc-CompanyID/schemeID/</t>
  </si>
  <si>
    <t>ubl:CreditNote/cac:AccountingCustomerParty/cac:Party/cac:Contact</t>
  </si>
  <si>
    <t>https://docs.peppol.eu/poacc/billing/3.0/syntax/ubl-creditnote/cac-AccountingCustomerParty/cac-Party/cac-Contact/</t>
  </si>
  <si>
    <t>ubl:CreditNote/cac:AccountingCustomerParty/cac:Party/cac:Contact/cbc:Name</t>
  </si>
  <si>
    <t>https://docs.peppol.eu/poacc/billing/3.0/syntax/ubl-creditnote/cac-AccountingCustomerParty/cac-Party/cac-Contact/cbc-Name/</t>
  </si>
  <si>
    <t>ubl:CreditNote/cac:AccountingCustomerParty/cac:Party/cac:Contact/cbc:Telephone</t>
  </si>
  <si>
    <t>https://docs.peppol.eu/poacc/billing/3.0/syntax/ubl-creditnote/cac-AccountingCustomerParty/cac-Party/cac-Contact/cbc-Telephone/</t>
  </si>
  <si>
    <t>ubl:CreditNote/cac:AccountingCustomerParty/cac:Party/cac:Contact/cbc:ElectronicMail</t>
  </si>
  <si>
    <t>https://docs.peppol.eu/poacc/billing/3.0/syntax/ubl-creditnote/cac-AccountingCustomerParty/cac-Party/cac-Contact/cbc-ElectronicMail/</t>
  </si>
  <si>
    <t>ubl:CreditNote/cac:PayeeParty</t>
  </si>
  <si>
    <t>https://docs.peppol.eu/poacc/billing/3.0/syntax/ubl-creditnote/cac-PayeeParty/</t>
  </si>
  <si>
    <t>ubl:CreditNote/cac:PayeeParty/cac:PartyIdentification</t>
  </si>
  <si>
    <t>https://docs.peppol.eu/poacc/billing/3.0/syntax/ubl-creditnote/cac-PayeeParty/cac-PartyIdentification/</t>
  </si>
  <si>
    <t>ubl:CreditNote/cac:PayeeParty/cac:PartyIdentification/cbc:ID</t>
  </si>
  <si>
    <t>https://docs.peppol.eu/poacc/billing/3.0/syntax/ubl-creditnote/cac-PayeeParty/cac-PartyIdentification/cbc-ID/</t>
  </si>
  <si>
    <t>ubl:CreditNote/cac:PayeeParty/cac:PartyIdentification/cbc:ID/@schemeID</t>
  </si>
  <si>
    <t>https://docs.peppol.eu/poacc/billing/3.0/syntax/ubl-creditnote/cac-PayeeParty/cac-PartyIdentification/cbc-ID/schemeID/</t>
  </si>
  <si>
    <t>ubl:CreditNote/cac:PayeeParty/cac:PartyName</t>
  </si>
  <si>
    <t>https://docs.peppol.eu/poacc/billing/3.0/syntax/ubl-creditnote/cac-PayeeParty/cac-PartyName/</t>
  </si>
  <si>
    <t>ubl:CreditNote/cac:PayeeParty/cac:PartyName/cbc:Name</t>
  </si>
  <si>
    <t>https://docs.peppol.eu/poacc/billing/3.0/syntax/ubl-creditnote/cac-PayeeParty/cac-PartyName/cbc-Name/</t>
  </si>
  <si>
    <t>ubl:CreditNote/cac:PayeeParty/cac:PartyLegalEntity</t>
  </si>
  <si>
    <t>https://docs.peppol.eu/poacc/billing/3.0/syntax/ubl-creditnote/cac-PayeeParty/cac-PartyLegalEntity/</t>
  </si>
  <si>
    <t>ubl:CreditNote/cac:PayeeParty/cac:PartyLegalEntity/cbc:CompanyID</t>
  </si>
  <si>
    <t>https://docs.peppol.eu/poacc/billing/3.0/syntax/ubl-creditnote/cac-PayeeParty/cac-PartyLegalEntity/cbc-CompanyID/</t>
  </si>
  <si>
    <t>ubl:CreditNote/cac:PayeeParty/cac:PartyLegalEntity/cbc:CompanyID/@schemeID</t>
  </si>
  <si>
    <t>https://docs.peppol.eu/poacc/billing/3.0/syntax/ubl-creditnote/cac-PayeeParty/cac-PartyLegalEntity/cbc-CompanyID/schemeID/</t>
  </si>
  <si>
    <t>ubl:CreditNote/cac:TaxRepresentativeParty</t>
  </si>
  <si>
    <t>https://docs.peppol.eu/poacc/billing/3.0/syntax/ubl-creditnote/cac-TaxRepresentativeParty/</t>
  </si>
  <si>
    <t>ubl:CreditNote/cac:TaxRepresentativeParty/cac:PartyName</t>
  </si>
  <si>
    <t>https://docs.peppol.eu/poacc/billing/3.0/syntax/ubl-creditnote/cac-TaxRepresentativeParty/cac-PartyName/</t>
  </si>
  <si>
    <t>ubl:CreditNote/cac:TaxRepresentativeParty/cac:PartyName/cbc:Name</t>
  </si>
  <si>
    <t>https://docs.peppol.eu/poacc/billing/3.0/syntax/ubl-creditnote/cac-TaxRepresentativeParty/cac-PartyName/cbc-Name/</t>
  </si>
  <si>
    <t>ubl:CreditNote/cac:TaxRepresentativeParty/cac:PostalAddress</t>
  </si>
  <si>
    <t>https://docs.peppol.eu/poacc/billing/3.0/syntax/ubl-creditnote/cac-TaxRepresentativeParty/cac-PostalAddress/</t>
  </si>
  <si>
    <t>ubl:CreditNote/cac:TaxRepresentativeParty/cac:PostalAddress/cbc:StreetName</t>
  </si>
  <si>
    <t>https://docs.peppol.eu/poacc/billing/3.0/syntax/ubl-creditnote/cac-TaxRepresentativeParty/cac-PostalAddress/cbc-StreetName/</t>
  </si>
  <si>
    <t>ubl:CreditNote/cac:TaxRepresentativeParty/cac:PostalAddress/cbc:AdditionalStreetName</t>
  </si>
  <si>
    <t>https://docs.peppol.eu/poacc/billing/3.0/syntax/ubl-creditnote/cac-TaxRepresentativeParty/cac-PostalAddress/cbc-AdditionalStreetName/</t>
  </si>
  <si>
    <t>ubl:CreditNote/cac:TaxRepresentativeParty/cac:PostalAddress/cbc:CityName</t>
  </si>
  <si>
    <t>https://docs.peppol.eu/poacc/billing/3.0/syntax/ubl-creditnote/cac-TaxRepresentativeParty/cac-PostalAddress/cbc-CityName/</t>
  </si>
  <si>
    <t>ubl:CreditNote/cac:TaxRepresentativeParty/cac:PostalAddress/cbc:PostalZone</t>
  </si>
  <si>
    <t>https://docs.peppol.eu/poacc/billing/3.0/syntax/ubl-creditnote/cac-TaxRepresentativeParty/cac-PostalAddress/cbc-PostalZone/</t>
  </si>
  <si>
    <t>ubl:CreditNote/cac:TaxRepresentativeParty/cac:PostalAddress/cbc:CountrySubentity</t>
  </si>
  <si>
    <t>https://docs.peppol.eu/poacc/billing/3.0/syntax/ubl-creditnote/cac-TaxRepresentativeParty/cac-PostalAddress/cbc-CountrySubentity/</t>
  </si>
  <si>
    <t>ubl:CreditNote/cac:TaxRepresentativeParty/cac:PostalAddress/cac:AddressLine</t>
  </si>
  <si>
    <t>https://docs.peppol.eu/poacc/billing/3.0/syntax/ubl-creditnote/cac-TaxRepresentativeParty/cac-PostalAddress/cac-AddressLine/</t>
  </si>
  <si>
    <t>ubl:CreditNote/cac:TaxRepresentativeParty/cac:PostalAddress/cac:AddressLine/cbc:Line</t>
  </si>
  <si>
    <t>https://docs.peppol.eu/poacc/billing/3.0/syntax/ubl-creditnote/cac-TaxRepresentativeParty/cac-PostalAddress/cac-AddressLine/cbc-Line/</t>
  </si>
  <si>
    <t>ubl:CreditNote/cac:TaxRepresentativeParty/cac:PostalAddress/cac:Country</t>
  </si>
  <si>
    <t>https://docs.peppol.eu/poacc/billing/3.0/syntax/ubl-creditnote/cac-TaxRepresentativeParty/cac-PostalAddress/cac-Country/</t>
  </si>
  <si>
    <t>ubl:CreditNote/cac:TaxRepresentativeParty/cac:PostalAddress/cac:Country/cbc:IdentificationCode</t>
  </si>
  <si>
    <t>https://docs.peppol.eu/poacc/billing/3.0/syntax/ubl-creditnote/cac-TaxRepresentativeParty/cac-PostalAddress/cac-Country/cbc-IdentificationCode/</t>
  </si>
  <si>
    <t>ubl:CreditNote/cac:TaxRepresentativeParty/cac:PartyTaxScheme</t>
  </si>
  <si>
    <t>https://docs.peppol.eu/poacc/billing/3.0/syntax/ubl-creditnote/cac-TaxRepresentativeParty/cac-PartyTaxScheme/</t>
  </si>
  <si>
    <t>ubl:CreditNote/cac:TaxRepresentativeParty/cac:PartyTaxScheme/cbc:CompanyID</t>
  </si>
  <si>
    <t>https://docs.peppol.eu/poacc/billing/3.0/syntax/ubl-creditnote/cac-TaxRepresentativeParty/cac-PartyTaxScheme/cbc-CompanyID/</t>
  </si>
  <si>
    <t>ubl:CreditNote/cac:TaxRepresentativeParty/cac:PartyTaxScheme/cac:TaxScheme</t>
  </si>
  <si>
    <t>https://docs.peppol.eu/poacc/billing/3.0/syntax/ubl-creditnote/cac-TaxRepresentativeParty/cac-PartyTaxScheme/cac-TaxScheme/</t>
  </si>
  <si>
    <t>ubl:CreditNote/cac:TaxRepresentativeParty/cac:PartyTaxScheme/cac:TaxScheme/cbc:ID</t>
  </si>
  <si>
    <t>https://docs.peppol.eu/poacc/billing/3.0/syntax/ubl-creditnote/cac-TaxRepresentativeParty/cac-PartyTaxScheme/cac-TaxScheme/cbc-ID/</t>
  </si>
  <si>
    <t>ubl:CreditNote/cac:Delivery</t>
  </si>
  <si>
    <t>https://docs.peppol.eu/poacc/billing/3.0/syntax/ubl-creditnote/cac-Delivery/</t>
  </si>
  <si>
    <t>ubl:CreditNote/cac:Delivery/cbc:ActualDeliveryDate</t>
  </si>
  <si>
    <t>https://docs.peppol.eu/poacc/billing/3.0/syntax/ubl-creditnote/cac-Delivery/cbc-ActualDeliveryDate/</t>
  </si>
  <si>
    <t>ubl:CreditNote/cac:Delivery/cac:DeliveryLocation</t>
  </si>
  <si>
    <t>https://docs.peppol.eu/poacc/billing/3.0/syntax/ubl-creditnote/cac-Delivery/cac-DeliveryLocation/</t>
  </si>
  <si>
    <t>ubl:CreditNote/cac:Delivery/cac:DeliveryLocation/cbc:ID</t>
  </si>
  <si>
    <t>https://docs.peppol.eu/poacc/billing/3.0/syntax/ubl-creditnote/cac-Delivery/cac-DeliveryLocation/cbc-ID/</t>
  </si>
  <si>
    <t>ubl:CreditNote/cac:Delivery/cac:DeliveryLocation/cbc:ID/@schemeID</t>
  </si>
  <si>
    <t>https://docs.peppol.eu/poacc/billing/3.0/syntax/ubl-creditnote/cac-Delivery/cac-DeliveryLocation/cbc-ID/schemeID/</t>
  </si>
  <si>
    <t>ubl:CreditNote/cac:Delivery/cac:DeliveryLocation/cac:Address</t>
  </si>
  <si>
    <t>https://docs.peppol.eu/poacc/billing/3.0/syntax/ubl-creditnote/cac-Delivery/cac-DeliveryLocation/cac-Address/</t>
  </si>
  <si>
    <t>ubl:CreditNote/cac:Delivery/cac:DeliveryLocation/cac:Address/cbc:StreetName</t>
  </si>
  <si>
    <t>https://docs.peppol.eu/poacc/billing/3.0/syntax/ubl-creditnote/cac-Delivery/cac-DeliveryLocation/cac-Address/cbc-StreetName/</t>
  </si>
  <si>
    <t>ubl:CreditNote/cac:Delivery/cac:DeliveryLocation/cac:Address/cbc:AdditionalStreetName</t>
  </si>
  <si>
    <t>https://docs.peppol.eu/poacc/billing/3.0/syntax/ubl-creditnote/cac-Delivery/cac-DeliveryLocation/cac-Address/cbc-AdditionalStreetName/</t>
  </si>
  <si>
    <t>ubl:CreditNote/cac:Delivery/cac:DeliveryLocation/cac:Address/cbc:CityName</t>
  </si>
  <si>
    <t>https://docs.peppol.eu/poacc/billing/3.0/syntax/ubl-creditnote/cac-Delivery/cac-DeliveryLocation/cac-Address/cbc-CityName/</t>
  </si>
  <si>
    <t>ubl:CreditNote/cac:Delivery/cac:DeliveryLocation/cac:Address/cbc:PostalZone</t>
  </si>
  <si>
    <t>https://docs.peppol.eu/poacc/billing/3.0/syntax/ubl-creditnote/cac-Delivery/cac-DeliveryLocation/cac-Address/cbc-PostalZone/</t>
  </si>
  <si>
    <t>ubl:CreditNote/cac:Delivery/cac:DeliveryLocation/cac:Address/cbc:CountrySubentity</t>
  </si>
  <si>
    <t>https://docs.peppol.eu/poacc/billing/3.0/syntax/ubl-creditnote/cac-Delivery/cac-DeliveryLocation/cac-Address/cbc-CountrySubentity/</t>
  </si>
  <si>
    <t>ubl:CreditNote/cac:Delivery/cac:DeliveryLocation/cac:Address/cac:AddressLine</t>
  </si>
  <si>
    <t>https://docs.peppol.eu/poacc/billing/3.0/syntax/ubl-creditnote/cac-Delivery/cac-DeliveryLocation/cac-Address/cac-AddressLine/</t>
  </si>
  <si>
    <t>ubl:CreditNote/cac:Delivery/cac:DeliveryLocation/cac:Address/cac:AddressLine/cbc:Line</t>
  </si>
  <si>
    <t>https://docs.peppol.eu/poacc/billing/3.0/syntax/ubl-creditnote/cac-Delivery/cac-DeliveryLocation/cac-Address/cac-AddressLine/cbc-Line/</t>
  </si>
  <si>
    <t>ubl:CreditNote/cac:Delivery/cac:DeliveryLocation/cac:Address/cac:Country</t>
  </si>
  <si>
    <t>https://docs.peppol.eu/poacc/billing/3.0/syntax/ubl-creditnote/cac-Delivery/cac-DeliveryLocation/cac-Address/cac-Country/</t>
  </si>
  <si>
    <t>ubl:CreditNote/cac:Delivery/cac:DeliveryLocation/cac:Address/cac:Country/cbc:IdentificationCode</t>
  </si>
  <si>
    <t>https://docs.peppol.eu/poacc/billing/3.0/syntax/ubl-creditnote/cac-Delivery/cac-DeliveryLocation/cac-Address/cac-Country/cbc-IdentificationCode/</t>
  </si>
  <si>
    <t>ubl:CreditNote/cac:Delivery/cac:DeliveryParty</t>
  </si>
  <si>
    <t>https://docs.peppol.eu/poacc/billing/3.0/syntax/ubl-creditnote/cac-Delivery/cac-DeliveryParty/</t>
  </si>
  <si>
    <t>ubl:CreditNote/cac:Delivery/cac:DeliveryParty/cac:PartyName</t>
  </si>
  <si>
    <t>https://docs.peppol.eu/poacc/billing/3.0/syntax/ubl-creditnote/cac-Delivery/cac-DeliveryParty/cac-PartyName/</t>
  </si>
  <si>
    <t>ubl:CreditNote/cac:Delivery/cac:DeliveryParty/cac:PartyName/cbc:Name</t>
  </si>
  <si>
    <t>https://docs.peppol.eu/poacc/billing/3.0/syntax/ubl-creditnote/cac-Delivery/cac-DeliveryParty/cac-PartyName/cbc-Name/</t>
  </si>
  <si>
    <t>ubl:CreditNote/cac:PaymentMeans</t>
  </si>
  <si>
    <t>https://docs.peppol.eu/poacc/billing/3.0/syntax/ubl-creditnote/cac-PaymentMeans/</t>
  </si>
  <si>
    <t>ubl:CreditNote/cac:PaymentMeans/cbc:PaymentMeansCode</t>
  </si>
  <si>
    <t>https://docs.peppol.eu/poacc/billing/3.0/syntax/ubl-creditnote/cac-PaymentMeans/cbc-PaymentMeansCode/</t>
  </si>
  <si>
    <t>ubl:CreditNote/cac:PaymentMeans/cbc:PaymentMeansCode/@name</t>
  </si>
  <si>
    <t>https://docs.peppol.eu/poacc/billing/3.0/syntax/ubl-creditnote/cac-PaymentMeans/cbc-PaymentMeansCode/name/</t>
  </si>
  <si>
    <t>cbc:PaymentDueDate</t>
  </si>
  <si>
    <t>ubl:CreditNote/cac:PaymentMeans/cbc:PaymentDueDate</t>
  </si>
  <si>
    <t>https://docs.peppol.eu/poacc/billing/3.0/syntax/ubl-creditnote/cac-PaymentMeans/cbc-PaymentDueDate/</t>
  </si>
  <si>
    <t>ubl:CreditNote/cac:PaymentMeans/cbc:PaymentID</t>
  </si>
  <si>
    <t>https://docs.peppol.eu/poacc/billing/3.0/syntax/ubl-creditnote/cac-PaymentMeans/cbc-PaymentID/</t>
  </si>
  <si>
    <t>ubl:CreditNote/cac:PaymentMeans/cac:CardAccount</t>
  </si>
  <si>
    <t>https://docs.peppol.eu/poacc/billing/3.0/syntax/ubl-creditnote/cac-PaymentMeans/cac-CardAccount/</t>
  </si>
  <si>
    <t>ubl:CreditNote/cac:PaymentMeans/cac:CardAccount/cbc:PrimaryAccountNumberID</t>
  </si>
  <si>
    <t>https://docs.peppol.eu/poacc/billing/3.0/syntax/ubl-creditnote/cac-PaymentMeans/cac-CardAccount/cbc-PrimaryAccountNumberID/</t>
  </si>
  <si>
    <t>ubl:CreditNote/cac:PaymentMeans/cac:CardAccount/cbc:NetworkID</t>
  </si>
  <si>
    <t>https://docs.peppol.eu/poacc/billing/3.0/syntax/ubl-creditnote/cac-PaymentMeans/cac-CardAccount/cbc-NetworkID/</t>
  </si>
  <si>
    <t>ubl:CreditNote/cac:PaymentMeans/cac:CardAccount/cbc:HolderName</t>
  </si>
  <si>
    <t>https://docs.peppol.eu/poacc/billing/3.0/syntax/ubl-creditnote/cac-PaymentMeans/cac-CardAccount/cbc-HolderName/</t>
  </si>
  <si>
    <t>ubl:CreditNote/cac:PaymentMeans/cac:PayeeFinancialAccount</t>
  </si>
  <si>
    <t>https://docs.peppol.eu/poacc/billing/3.0/syntax/ubl-creditnote/cac-PaymentMeans/cac-PayeeFinancialAccount/</t>
  </si>
  <si>
    <t>ubl:CreditNote/cac:PaymentMeans/cac:PayeeFinancialAccount/cbc:ID</t>
  </si>
  <si>
    <t>https://docs.peppol.eu/poacc/billing/3.0/syntax/ubl-creditnote/cac-PaymentMeans/cac-PayeeFinancialAccount/cbc-ID/</t>
  </si>
  <si>
    <t>ubl:CreditNote/cac:PaymentMeans/cac:PayeeFinancialAccount/cbc:Name</t>
  </si>
  <si>
    <t>https://docs.peppol.eu/poacc/billing/3.0/syntax/ubl-creditnote/cac-PaymentMeans/cac-PayeeFinancialAccount/cbc-Name/</t>
  </si>
  <si>
    <t>ubl:CreditNote/cac:PaymentMeans/cac:PayeeFinancialAccount/cac:FinancialInstitutionBranch</t>
  </si>
  <si>
    <t>https://docs.peppol.eu/poacc/billing/3.0/syntax/ubl-creditnote/cac-PaymentMeans/cac-PayeeFinancialAccount/cac-FinancialInstitutionBranch/</t>
  </si>
  <si>
    <t>ubl:CreditNote/cac:PaymentMeans/cac:PayeeFinancialAccount/cac:FinancialInstitutionBranch/cbc:ID</t>
  </si>
  <si>
    <t>https://docs.peppol.eu/poacc/billing/3.0/syntax/ubl-creditnote/cac-PaymentMeans/cac-PayeeFinancialAccount/cac-FinancialInstitutionBranch/cbc-ID/</t>
  </si>
  <si>
    <t>ubl:CreditNote/cac:PaymentMeans/cac:PaymentMandate</t>
  </si>
  <si>
    <t>https://docs.peppol.eu/poacc/billing/3.0/syntax/ubl-creditnote/cac-PaymentMeans/cac-PaymentMandate/</t>
  </si>
  <si>
    <t>ubl:CreditNote/cac:PaymentMeans/cac:PaymentMandate/cbc:ID</t>
  </si>
  <si>
    <t>https://docs.peppol.eu/poacc/billing/3.0/syntax/ubl-creditnote/cac-PaymentMeans/cac-PaymentMandate/cbc-ID/</t>
  </si>
  <si>
    <t>ubl:CreditNote/cac:PaymentMeans/cac:PaymentMandate/cac:PayerFinancialAccount</t>
  </si>
  <si>
    <t>https://docs.peppol.eu/poacc/billing/3.0/syntax/ubl-creditnote/cac-PaymentMeans/cac-PaymentMandate/cac-PayerFinancialAccount/</t>
  </si>
  <si>
    <t>ubl:CreditNote/cac:PaymentMeans/cac:PaymentMandate/cac:PayerFinancialAccount/cbc:ID</t>
  </si>
  <si>
    <t>https://docs.peppol.eu/poacc/billing/3.0/syntax/ubl-creditnote/cac-PaymentMeans/cac-PaymentMandate/cac-PayerFinancialAccount/cbc-ID/</t>
  </si>
  <si>
    <t>ubl:CreditNote/cac:PaymentTerms</t>
  </si>
  <si>
    <t>https://docs.peppol.eu/poacc/billing/3.0/syntax/ubl-creditnote/cac-PaymentTerms/</t>
  </si>
  <si>
    <t>ubl:CreditNote/cac:PaymentTerms/cbc:Note</t>
  </si>
  <si>
    <t>https://docs.peppol.eu/poacc/billing/3.0/syntax/ubl-creditnote/cac-PaymentTerms/cbc-Note/</t>
  </si>
  <si>
    <t>ubl:CreditNote/cac:AllowanceCharge</t>
  </si>
  <si>
    <t>https://docs.peppol.eu/poacc/billing/3.0/syntax/ubl-creditnote/cac-AllowanceCharge/</t>
  </si>
  <si>
    <t>ubl:CreditNote/cac:AllowanceCharge/cbc:ChargeIndicator</t>
  </si>
  <si>
    <t>https://docs.peppol.eu/poacc/billing/3.0/syntax/ubl-creditnote/cac-AllowanceCharge/cbc-ChargeIndicator/</t>
  </si>
  <si>
    <t>ubl:CreditNote/cac:AllowanceCharge/cbc:AllowanceChargeReasonCode</t>
  </si>
  <si>
    <t>https://docs.peppol.eu/poacc/billing/3.0/syntax/ubl-creditnote/cac-AllowanceCharge/cbc-AllowanceChargeReasonCode/</t>
  </si>
  <si>
    <t>ubl:CreditNote/cac:AllowanceCharge/cbc:AllowanceChargeReason</t>
  </si>
  <si>
    <t>https://docs.peppol.eu/poacc/billing/3.0/syntax/ubl-creditnote/cac-AllowanceCharge/cbc-AllowanceChargeReason/</t>
  </si>
  <si>
    <t>ubl:CreditNote/cac:AllowanceCharge/cbc:MultiplierFactorNumeric</t>
  </si>
  <si>
    <t>https://docs.peppol.eu/poacc/billing/3.0/syntax/ubl-creditnote/cac-AllowanceCharge/cbc-MultiplierFactorNumeric/</t>
  </si>
  <si>
    <t>ubl:CreditNote/cac:AllowanceCharge/cbc:Amount</t>
  </si>
  <si>
    <t>https://docs.peppol.eu/poacc/billing/3.0/syntax/ubl-creditnote/cac-AllowanceCharge/cbc-Amount/</t>
  </si>
  <si>
    <t>ubl:CreditNote/cac:AllowanceCharge/cbc:Amount/@currencyID</t>
  </si>
  <si>
    <t>https://docs.peppol.eu/poacc/billing/3.0/syntax/ubl-creditnote/cac-AllowanceCharge/cbc-Amount/currencyID/</t>
  </si>
  <si>
    <t>ubl:CreditNote/cac:AllowanceCharge/cbc:BaseAmount</t>
  </si>
  <si>
    <t>https://docs.peppol.eu/poacc/billing/3.0/syntax/ubl-creditnote/cac-AllowanceCharge/cbc-BaseAmount/</t>
  </si>
  <si>
    <t>ubl:CreditNote/cac:AllowanceCharge/cbc:BaseAmount/@currencyID</t>
  </si>
  <si>
    <t>https://docs.peppol.eu/poacc/billing/3.0/syntax/ubl-creditnote/cac-AllowanceCharge/cbc-BaseAmount/currencyID/</t>
  </si>
  <si>
    <t>ubl:CreditNote/cac:AllowanceCharge/cac:TaxCategory</t>
  </si>
  <si>
    <t>https://docs.peppol.eu/poacc/billing/3.0/syntax/ubl-creditnote/cac-AllowanceCharge/cac-TaxCategory/</t>
  </si>
  <si>
    <t>ubl:CreditNote/cac:AllowanceCharge/cac:TaxCategory/cbc:ID</t>
  </si>
  <si>
    <t>https://docs.peppol.eu/poacc/billing/3.0/syntax/ubl-creditnote/cac-AllowanceCharge/cac-TaxCategory/cbc-ID/</t>
  </si>
  <si>
    <t>ubl:CreditNote/cac:AllowanceCharge/cac:TaxCategory/cbc:Percent</t>
  </si>
  <si>
    <t>https://docs.peppol.eu/poacc/billing/3.0/syntax/ubl-creditnote/cac-AllowanceCharge/cac-TaxCategory/cbc-Percent/</t>
  </si>
  <si>
    <t>ubl:CreditNote/cac:AllowanceCharge/cac:TaxCategory/cac:TaxScheme</t>
  </si>
  <si>
    <t>https://docs.peppol.eu/poacc/billing/3.0/syntax/ubl-creditnote/cac-AllowanceCharge/cac-TaxCategory/cac-TaxScheme/</t>
  </si>
  <si>
    <t>ubl:CreditNote/cac:AllowanceCharge/cac:TaxCategory/cac:TaxScheme/cbc:ID</t>
  </si>
  <si>
    <t>https://docs.peppol.eu/poacc/billing/3.0/syntax/ubl-creditnote/cac-AllowanceCharge/cac-TaxCategory/cac-TaxScheme/cbc-ID/</t>
  </si>
  <si>
    <t>ubl:CreditNote/cac:TaxTotal</t>
  </si>
  <si>
    <t>https://docs.peppol.eu/poacc/billing/3.0/syntax/ubl-creditnote/cac-TaxTotal/</t>
  </si>
  <si>
    <t>ubl:CreditNote/cac:TaxTotal/cbc:TaxAmount</t>
  </si>
  <si>
    <t>https://docs.peppol.eu/poacc/billing/3.0/syntax/ubl-creditnote/cac-TaxTotal/cbc-TaxAmount/</t>
  </si>
  <si>
    <t>ubl:CreditNote/cac:TaxTotal/cbc:TaxAmount/@currencyID</t>
  </si>
  <si>
    <t>https://docs.peppol.eu/poacc/billing/3.0/syntax/ubl-creditnote/cac-TaxTotal/cbc-TaxAmount/currencyID/</t>
  </si>
  <si>
    <t>ubl:CreditNote/cac:TaxTotal/cac:TaxSubtotal</t>
  </si>
  <si>
    <t>https://docs.peppol.eu/poacc/billing/3.0/syntax/ubl-creditnote/cac-TaxTotal/cac-TaxSubtotal/</t>
  </si>
  <si>
    <t>ubl:CreditNote/cac:TaxTotal/cac:TaxSubtotal/cbc:TaxableAmount</t>
  </si>
  <si>
    <t>https://docs.peppol.eu/poacc/billing/3.0/syntax/ubl-creditnote/cac-TaxTotal/cac-TaxSubtotal/cbc-TaxableAmount/</t>
  </si>
  <si>
    <t>ubl:CreditNote/cac:TaxTotal/cac:TaxSubtotal/cbc:TaxableAmount/@currencyID</t>
  </si>
  <si>
    <t>https://docs.peppol.eu/poacc/billing/3.0/syntax/ubl-creditnote/cac-TaxTotal/cac-TaxSubtotal/cbc-TaxableAmount/currencyID/</t>
  </si>
  <si>
    <t>ubl:CreditNote/cac:TaxTotal/cac:TaxSubtotal/cbc:TaxAmount</t>
  </si>
  <si>
    <t>https://docs.peppol.eu/poacc/billing/3.0/syntax/ubl-creditnote/cac-TaxTotal/cac-TaxSubtotal/cbc-TaxAmount/</t>
  </si>
  <si>
    <t>ubl:CreditNote/cac:TaxTotal/cac:TaxSubtotal/cbc:TaxAmount/@currencyID</t>
  </si>
  <si>
    <t>https://docs.peppol.eu/poacc/billing/3.0/syntax/ubl-creditnote/cac-TaxTotal/cac-TaxSubtotal/cbc-TaxAmount/currencyID/</t>
  </si>
  <si>
    <t>ubl:CreditNote/cac:TaxTotal/cac:TaxSubtotal/cac:TaxCategory</t>
  </si>
  <si>
    <t>https://docs.peppol.eu/poacc/billing/3.0/syntax/ubl-creditnote/cac-TaxTotal/cac-TaxSubtotal/cac-TaxCategory/</t>
  </si>
  <si>
    <t>ubl:CreditNote/cac:TaxTotal/cac:TaxSubtotal/cac:TaxCategory/cbc:ID</t>
  </si>
  <si>
    <t>https://docs.peppol.eu/poacc/billing/3.0/syntax/ubl-creditnote/cac-TaxTotal/cac-TaxSubtotal/cac-TaxCategory/cbc-ID/</t>
  </si>
  <si>
    <t>ubl:CreditNote/cac:TaxTotal/cac:TaxSubtotal/cac:TaxCategory/cbc:Percent</t>
  </si>
  <si>
    <t>https://docs.peppol.eu/poacc/billing/3.0/syntax/ubl-creditnote/cac-TaxTotal/cac-TaxSubtotal/cac-TaxCategory/cbc-Percent/</t>
  </si>
  <si>
    <t>ubl:CreditNote/cac:TaxTotal/cac:TaxSubtotal/cac:TaxCategory/cbc:TaxExemptionReasonCode</t>
  </si>
  <si>
    <t>https://docs.peppol.eu/poacc/billing/3.0/syntax/ubl-creditnote/cac-TaxTotal/cac-TaxSubtotal/cac-TaxCategory/cbc-TaxExemptionReasonCode/</t>
  </si>
  <si>
    <t>ubl:CreditNote/cac:TaxTotal/cac:TaxSubtotal/cac:TaxCategory/cbc:TaxExemptionReason</t>
  </si>
  <si>
    <t>https://docs.peppol.eu/poacc/billing/3.0/syntax/ubl-creditnote/cac-TaxTotal/cac-TaxSubtotal/cac-TaxCategory/cbc-TaxExemptionReason/</t>
  </si>
  <si>
    <t>ubl:CreditNote/cac:TaxTotal/cac:TaxSubtotal/cac:TaxCategory/cac:TaxScheme</t>
  </si>
  <si>
    <t>https://docs.peppol.eu/poacc/billing/3.0/syntax/ubl-creditnote/cac-TaxTotal/cac-TaxSubtotal/cac-TaxCategory/cac-TaxScheme/</t>
  </si>
  <si>
    <t>ubl:CreditNote/cac:TaxTotal/cac:TaxSubtotal/cac:TaxCategory/cac:TaxScheme/cbc:ID</t>
  </si>
  <si>
    <t>https://docs.peppol.eu/poacc/billing/3.0/syntax/ubl-creditnote/cac-TaxTotal/cac-TaxSubtotal/cac-TaxCategory/cac-TaxScheme/cbc-ID/</t>
  </si>
  <si>
    <t>ubl:CreditNote/cac:LegalMonetaryTotal</t>
  </si>
  <si>
    <t>https://docs.peppol.eu/poacc/billing/3.0/syntax/ubl-creditnote/cac-LegalMonetaryTotal/</t>
  </si>
  <si>
    <t>ubl:CreditNote/cac:LegalMonetaryTotal/cbc:LineExtensionAmount</t>
  </si>
  <si>
    <t>https://docs.peppol.eu/poacc/billing/3.0/syntax/ubl-creditnote/cac-LegalMonetaryTotal/cbc-LineExtensionAmount/</t>
  </si>
  <si>
    <t>ubl:CreditNote/cac:LegalMonetaryTotal/cbc:LineExtensionAmount/@currencyID</t>
  </si>
  <si>
    <t>https://docs.peppol.eu/poacc/billing/3.0/syntax/ubl-creditnote/cac-LegalMonetaryTotal/cbc-LineExtensionAmount/currencyID/</t>
  </si>
  <si>
    <t>ubl:CreditNote/cac:LegalMonetaryTotal/cbc:TaxExclusiveAmount</t>
  </si>
  <si>
    <t>https://docs.peppol.eu/poacc/billing/3.0/syntax/ubl-creditnote/cac-LegalMonetaryTotal/cbc-TaxExclusiveAmount/</t>
  </si>
  <si>
    <t>ubl:CreditNote/cac:LegalMonetaryTotal/cbc:TaxExclusiveAmount/@currencyID</t>
  </si>
  <si>
    <t>https://docs.peppol.eu/poacc/billing/3.0/syntax/ubl-creditnote/cac-LegalMonetaryTotal/cbc-TaxExclusiveAmount/currencyID/</t>
  </si>
  <si>
    <t>ubl:CreditNote/cac:LegalMonetaryTotal/cbc:TaxInclusiveAmount</t>
  </si>
  <si>
    <t>https://docs.peppol.eu/poacc/billing/3.0/syntax/ubl-creditnote/cac-LegalMonetaryTotal/cbc-TaxInclusiveAmount/</t>
  </si>
  <si>
    <t>ubl:CreditNote/cac:LegalMonetaryTotal/cbc:TaxInclusiveAmount/@currencyID</t>
  </si>
  <si>
    <t>https://docs.peppol.eu/poacc/billing/3.0/syntax/ubl-creditnote/cac-LegalMonetaryTotal/cbc-TaxInclusiveAmount/currencyID/</t>
  </si>
  <si>
    <t>ubl:CreditNote/cac:LegalMonetaryTotal/cbc:AllowanceTotalAmount</t>
  </si>
  <si>
    <t>https://docs.peppol.eu/poacc/billing/3.0/syntax/ubl-creditnote/cac-LegalMonetaryTotal/cbc-AllowanceTotalAmount/</t>
  </si>
  <si>
    <t>ubl:CreditNote/cac:LegalMonetaryTotal/cbc:AllowanceTotalAmount/@currencyID</t>
  </si>
  <si>
    <t>https://docs.peppol.eu/poacc/billing/3.0/syntax/ubl-creditnote/cac-LegalMonetaryTotal/cbc-AllowanceTotalAmount/currencyID/</t>
  </si>
  <si>
    <t>ubl:CreditNote/cac:LegalMonetaryTotal/cbc:ChargeTotalAmount</t>
  </si>
  <si>
    <t>https://docs.peppol.eu/poacc/billing/3.0/syntax/ubl-creditnote/cac-LegalMonetaryTotal/cbc-ChargeTotalAmount/</t>
  </si>
  <si>
    <t>ubl:CreditNote/cac:LegalMonetaryTotal/cbc:ChargeTotalAmount/@currencyID</t>
  </si>
  <si>
    <t>https://docs.peppol.eu/poacc/billing/3.0/syntax/ubl-creditnote/cac-LegalMonetaryTotal/cbc-ChargeTotalAmount/currencyID/</t>
  </si>
  <si>
    <t>ubl:CreditNote/cac:LegalMonetaryTotal/cbc:PrepaidAmount</t>
  </si>
  <si>
    <t>https://docs.peppol.eu/poacc/billing/3.0/syntax/ubl-creditnote/cac-LegalMonetaryTotal/cbc-PrepaidAmount/</t>
  </si>
  <si>
    <t>ubl:CreditNote/cac:LegalMonetaryTotal/cbc:PrepaidAmount/@currencyID</t>
  </si>
  <si>
    <t>https://docs.peppol.eu/poacc/billing/3.0/syntax/ubl-creditnote/cac-LegalMonetaryTotal/cbc-PrepaidAmount/currencyID/</t>
  </si>
  <si>
    <t>ubl:CreditNote/cac:LegalMonetaryTotal/cbc:PayableRoundingAmount</t>
  </si>
  <si>
    <t>https://docs.peppol.eu/poacc/billing/3.0/syntax/ubl-creditnote/cac-LegalMonetaryTotal/cbc-PayableRoundingAmount/</t>
  </si>
  <si>
    <t>ubl:CreditNote/cac:LegalMonetaryTotal/cbc:PayableRoundingAmount/@currencyID</t>
  </si>
  <si>
    <t>https://docs.peppol.eu/poacc/billing/3.0/syntax/ubl-creditnote/cac-LegalMonetaryTotal/cbc-PayableRoundingAmount/currencyID/</t>
  </si>
  <si>
    <t>ubl:CreditNote/cac:LegalMonetaryTotal/cbc:PayableAmount</t>
  </si>
  <si>
    <t>https://docs.peppol.eu/poacc/billing/3.0/syntax/ubl-creditnote/cac-LegalMonetaryTotal/cbc-PayableAmount/</t>
  </si>
  <si>
    <t>ubl:CreditNote/cac:LegalMonetaryTotal/cbc:PayableAmount/@currencyID</t>
  </si>
  <si>
    <t>https://docs.peppol.eu/poacc/billing/3.0/syntax/ubl-creditnote/cac-LegalMonetaryTotal/cbc-PayableAmount/currencyID/</t>
  </si>
  <si>
    <t>Credit note lines</t>
  </si>
  <si>
    <t>cac:CreditNoteLine</t>
  </si>
  <si>
    <t>ubl:CreditNote/cac:CreditNoteLine</t>
  </si>
  <si>
    <t>https://docs.peppol.eu/poacc/billing/3.0/syntax/ubl-creditnote/cac-CreditNoteLine/</t>
  </si>
  <si>
    <t>ubl:CreditNote/cac:CreditNoteLine/cbc:ID</t>
  </si>
  <si>
    <t>https://docs.peppol.eu/poacc/billing/3.0/syntax/ubl-creditnote/cac-CreditNoteLine/cbc-ID/</t>
  </si>
  <si>
    <t>ubl:CreditNote/cac:CreditNoteLine/cbc:Note</t>
  </si>
  <si>
    <t>https://docs.peppol.eu/poacc/billing/3.0/syntax/ubl-creditnote/cac-CreditNoteLine/cbc-Note/</t>
  </si>
  <si>
    <t>cbc:CreditedQuantity</t>
  </si>
  <si>
    <t>ubl:CreditNote/cac:CreditNoteLine/cbc:CreditedQuantity</t>
  </si>
  <si>
    <t>40</t>
  </si>
  <si>
    <t>https://docs.peppol.eu/poacc/billing/3.0/syntax/ubl-creditnote/cac-CreditNoteLine/cbc-CreditedQuantity/</t>
  </si>
  <si>
    <t>ubl:CreditNote/cac:CreditNoteLine/cbc:CreditedQuantity/@unitCode</t>
  </si>
  <si>
    <t>https://docs.peppol.eu/poacc/billing/3.0/syntax/ubl-creditnote/cac-CreditNoteLine/cbc-CreditedQuantity/unitCode/</t>
  </si>
  <si>
    <t>ubl:CreditNote/cac:CreditNoteLine/cbc:LineExtensionAmount</t>
  </si>
  <si>
    <t>3800</t>
  </si>
  <si>
    <t>https://docs.peppol.eu/poacc/billing/3.0/syntax/ubl-creditnote/cac-CreditNoteLine/cbc-LineExtensionAmount/</t>
  </si>
  <si>
    <t>ubl:CreditNote/cac:CreditNoteLine/cbc:LineExtensionAmount/@currencyID</t>
  </si>
  <si>
    <t>https://docs.peppol.eu/poacc/billing/3.0/syntax/ubl-creditnote/cac-CreditNoteLine/cbc-LineExtensionAmount/currencyID/</t>
  </si>
  <si>
    <t>ubl:CreditNote/cac:CreditNoteLine/cbc:AccountingCost</t>
  </si>
  <si>
    <t>https://docs.peppol.eu/poacc/billing/3.0/syntax/ubl-creditnote/cac-CreditNoteLine/cbc-AccountingCost/</t>
  </si>
  <si>
    <t>ubl:CreditNote/cac:CreditNoteLine/cac:InvoicePeriod</t>
  </si>
  <si>
    <t>https://docs.peppol.eu/poacc/billing/3.0/syntax/ubl-creditnote/cac-CreditNoteLine/cac-InvoicePeriod/</t>
  </si>
  <si>
    <t>ubl:CreditNote/cac:CreditNoteLine/cac:InvoicePeriod/cbc:StartDate</t>
  </si>
  <si>
    <t>https://docs.peppol.eu/poacc/billing/3.0/syntax/ubl-creditnote/cac-CreditNoteLine/cac-InvoicePeriod/cbc-StartDate/</t>
  </si>
  <si>
    <t>ubl:CreditNote/cac:CreditNoteLine/cac:InvoicePeriod/cbc:EndDate</t>
  </si>
  <si>
    <t>https://docs.peppol.eu/poacc/billing/3.0/syntax/ubl-creditnote/cac-CreditNoteLine/cac-InvoicePeriod/cbc-EndDate/</t>
  </si>
  <si>
    <t>ubl:CreditNote/cac:CreditNoteLine/cac:OrderLineReference</t>
  </si>
  <si>
    <t>https://docs.peppol.eu/poacc/billing/3.0/syntax/ubl-creditnote/cac-CreditNoteLine/cac-OrderLineReference/</t>
  </si>
  <si>
    <t>ubl:CreditNote/cac:CreditNoteLine/cac:OrderLineReference/cbc:LineID</t>
  </si>
  <si>
    <t>https://docs.peppol.eu/poacc/billing/3.0/syntax/ubl-creditnote/cac-CreditNoteLine/cac-OrderLineReference/cbc-LineID/</t>
  </si>
  <si>
    <t>ubl:CreditNote/cac:CreditNoteLine/cac:DocumentReference</t>
  </si>
  <si>
    <t>https://docs.peppol.eu/poacc/billing/3.0/syntax/ubl-creditnote/cac-CreditNoteLine/cac-DocumentReference/</t>
  </si>
  <si>
    <t>ubl:CreditNote/cac:CreditNoteLine/cac:DocumentReference/cbc:ID</t>
  </si>
  <si>
    <t>23324234</t>
  </si>
  <si>
    <t>https://docs.peppol.eu/poacc/billing/3.0/syntax/ubl-creditnote/cac-CreditNoteLine/cac-DocumentReference/cbc-ID/</t>
  </si>
  <si>
    <t>ubl:CreditNote/cac:CreditNoteLine/cac:DocumentReference/cbc:ID/@schemeID</t>
  </si>
  <si>
    <t>AVV</t>
  </si>
  <si>
    <t>https://docs.peppol.eu/poacc/billing/3.0/syntax/ubl-creditnote/cac-CreditNoteLine/cac-DocumentReference/cbc-ID/schemeID/</t>
  </si>
  <si>
    <t>ubl:CreditNote/cac:CreditNoteLine/cac:DocumentReference/cbc:DocumentTypeCode</t>
  </si>
  <si>
    <t>https://docs.peppol.eu/poacc/billing/3.0/syntax/ubl-creditnote/cac-CreditNoteLine/cac-DocumentReference/cbc-DocumentTypeCode/</t>
  </si>
  <si>
    <t>ubl:CreditNote/cac:CreditNoteLine/cac:AllowanceCharge</t>
  </si>
  <si>
    <t>https://docs.peppol.eu/poacc/billing/3.0/syntax/ubl-creditnote/cac-CreditNoteLine/cac-AllowanceCharge/</t>
  </si>
  <si>
    <t>ubl:CreditNote/cac:CreditNoteLine/cac:AllowanceCharge/cbc:ChargeIndicator</t>
  </si>
  <si>
    <t>https://docs.peppol.eu/poacc/billing/3.0/syntax/ubl-creditnote/cac-CreditNoteLine/cac-AllowanceCharge/cbc-ChargeIndicator/</t>
  </si>
  <si>
    <t>ubl:CreditNote/cac:CreditNoteLine/cac:AllowanceCharge/cbc:AllowanceChargeReasonCode</t>
  </si>
  <si>
    <t>https://docs.peppol.eu/poacc/billing/3.0/syntax/ubl-creditnote/cac-CreditNoteLine/cac-AllowanceCharge/cbc-AllowanceChargeReasonCode/</t>
  </si>
  <si>
    <t>ubl:CreditNote/cac:CreditNoteLine/cac:AllowanceCharge/cbc:AllowanceChargeReason</t>
  </si>
  <si>
    <t>https://docs.peppol.eu/poacc/billing/3.0/syntax/ubl-creditnote/cac-CreditNoteLine/cac-AllowanceCharge/cbc-AllowanceChargeReason/</t>
  </si>
  <si>
    <t>ubl:CreditNote/cac:CreditNoteLine/cac:AllowanceCharge/cbc:MultiplierFactorNumeric</t>
  </si>
  <si>
    <t>https://docs.peppol.eu/poacc/billing/3.0/syntax/ubl-creditnote/cac-CreditNoteLine/cac-AllowanceCharge/cbc-MultiplierFactorNumeric/</t>
  </si>
  <si>
    <t>ubl:CreditNote/cac:CreditNoteLine/cac:AllowanceCharge/cbc:Amount</t>
  </si>
  <si>
    <t>https://docs.peppol.eu/poacc/billing/3.0/syntax/ubl-creditnote/cac-CreditNoteLine/cac-AllowanceCharge/cbc-Amount/</t>
  </si>
  <si>
    <t>ubl:CreditNote/cac:CreditNoteLine/cac:AllowanceCharge/cbc:Amount/@currencyID</t>
  </si>
  <si>
    <t>https://docs.peppol.eu/poacc/billing/3.0/syntax/ubl-creditnote/cac-CreditNoteLine/cac-AllowanceCharge/cbc-Amount/currencyID/</t>
  </si>
  <si>
    <t>ubl:CreditNote/cac:CreditNoteLine/cac:AllowanceCharge/cbc:BaseAmount</t>
  </si>
  <si>
    <t>https://docs.peppol.eu/poacc/billing/3.0/syntax/ubl-creditnote/cac-CreditNoteLine/cac-AllowanceCharge/cbc-BaseAmount/</t>
  </si>
  <si>
    <t>ubl:CreditNote/cac:CreditNoteLine/cac:AllowanceCharge/cbc:BaseAmount/@currencyID</t>
  </si>
  <si>
    <t>https://docs.peppol.eu/poacc/billing/3.0/syntax/ubl-creditnote/cac-CreditNoteLine/cac-AllowanceCharge/cbc-BaseAmount/currencyID/</t>
  </si>
  <si>
    <t>ubl:CreditNote/cac:CreditNoteLine/cac:Item</t>
  </si>
  <si>
    <t>https://docs.peppol.eu/poacc/billing/3.0/syntax/ubl-creditnote/cac-CreditNoteLine/cac-Item/</t>
  </si>
  <si>
    <t>ubl:CreditNote/cac:CreditNoteLine/cac:Item/cbc:Description</t>
  </si>
  <si>
    <t>https://docs.peppol.eu/poacc/billing/3.0/syntax/ubl-creditnote/cac-CreditNoteLine/cac-Item/cbc-Description/</t>
  </si>
  <si>
    <t>ubl:CreditNote/cac:CreditNoteLine/cac:Item/cbc:Name</t>
  </si>
  <si>
    <t>https://docs.peppol.eu/poacc/billing/3.0/syntax/ubl-creditnote/cac-CreditNoteLine/cac-Item/cbc-Name/</t>
  </si>
  <si>
    <t>ubl:CreditNote/cac:CreditNoteLine/cac:Item/cac:BuyersItemIdentification</t>
  </si>
  <si>
    <t>https://docs.peppol.eu/poacc/billing/3.0/syntax/ubl-creditnote/cac-CreditNoteLine/cac-Item/cac-BuyersItemIdentification/</t>
  </si>
  <si>
    <t>ubl:CreditNote/cac:CreditNoteLine/cac:Item/cac:BuyersItemIdentification/cbc:ID</t>
  </si>
  <si>
    <t>https://docs.peppol.eu/poacc/billing/3.0/syntax/ubl-creditnote/cac-CreditNoteLine/cac-Item/cac-BuyersItemIdentification/cbc-ID/</t>
  </si>
  <si>
    <t>ubl:CreditNote/cac:CreditNoteLine/cac:Item/cac:SellersItemIdentification</t>
  </si>
  <si>
    <t>https://docs.peppol.eu/poacc/billing/3.0/syntax/ubl-creditnote/cac-CreditNoteLine/cac-Item/cac-SellersItemIdentification/</t>
  </si>
  <si>
    <t>ubl:CreditNote/cac:CreditNoteLine/cac:Item/cac:SellersItemIdentification/cbc:ID</t>
  </si>
  <si>
    <t>https://docs.peppol.eu/poacc/billing/3.0/syntax/ubl-creditnote/cac-CreditNoteLine/cac-Item/cac-SellersItemIdentification/cbc-ID/</t>
  </si>
  <si>
    <t>ubl:CreditNote/cac:CreditNoteLine/cac:Item/cac:StandardItemIdentification</t>
  </si>
  <si>
    <t>https://docs.peppol.eu/poacc/billing/3.0/syntax/ubl-creditnote/cac-CreditNoteLine/cac-Item/cac-StandardItemIdentification/</t>
  </si>
  <si>
    <t>ubl:CreditNote/cac:CreditNoteLine/cac:Item/cac:StandardItemIdentification/cbc:ID</t>
  </si>
  <si>
    <t>https://docs.peppol.eu/poacc/billing/3.0/syntax/ubl-creditnote/cac-CreditNoteLine/cac-Item/cac-StandardItemIdentification/cbc-ID/</t>
  </si>
  <si>
    <t>ubl:CreditNote/cac:CreditNoteLine/cac:Item/cac:StandardItemIdentification/cbc:ID/@schemeID</t>
  </si>
  <si>
    <t>https://docs.peppol.eu/poacc/billing/3.0/syntax/ubl-creditnote/cac-CreditNoteLine/cac-Item/cac-StandardItemIdentification/cbc-ID/schemeID/</t>
  </si>
  <si>
    <t>ubl:CreditNote/cac:CreditNoteLine/cac:Item/cac:OriginCountry</t>
  </si>
  <si>
    <t>https://docs.peppol.eu/poacc/billing/3.0/syntax/ubl-creditnote/cac-CreditNoteLine/cac-Item/cac-OriginCountry/</t>
  </si>
  <si>
    <t>ubl:CreditNote/cac:CreditNoteLine/cac:Item/cac:OriginCountry/cbc:IdentificationCode</t>
  </si>
  <si>
    <t>https://docs.peppol.eu/poacc/billing/3.0/syntax/ubl-creditnote/cac-CreditNoteLine/cac-Item/cac-OriginCountry/cbc-IdentificationCode/</t>
  </si>
  <si>
    <t>ubl:CreditNote/cac:CreditNoteLine/cac:Item/cac:CommodityClassification</t>
  </si>
  <si>
    <t>https://docs.peppol.eu/poacc/billing/3.0/syntax/ubl-creditnote/cac-CreditNoteLine/cac-Item/cac-CommodityClassification/</t>
  </si>
  <si>
    <t>ubl:CreditNote/cac:CreditNoteLine/cac:Item/cac:CommodityClassification/cbc:ItemClassificationCode</t>
  </si>
  <si>
    <t>https://docs.peppol.eu/poacc/billing/3.0/syntax/ubl-creditnote/cac-CreditNoteLine/cac-Item/cac-CommodityClassification/cbc-ItemClassificationCode/</t>
  </si>
  <si>
    <t>ubl:CreditNote/cac:CreditNoteLine/cac:Item/cac:CommodityClassification/cbc:ItemClassificationCode/@listID</t>
  </si>
  <si>
    <t>https://docs.peppol.eu/poacc/billing/3.0/syntax/ubl-creditnote/cac-CreditNoteLine/cac-Item/cac-CommodityClassification/cbc-ItemClassificationCode/listID/</t>
  </si>
  <si>
    <t>ubl:CreditNote/cac:CreditNoteLine/cac:Item/cac:CommodityClassification/cbc:ItemClassificationCode/@listVersionID</t>
  </si>
  <si>
    <t>https://docs.peppol.eu/poacc/billing/3.0/syntax/ubl-creditnote/cac-CreditNoteLine/cac-Item/cac-CommodityClassification/cbc-ItemClassificationCode/listVersionID/</t>
  </si>
  <si>
    <t>ubl:CreditNote/cac:CreditNoteLine/cac:Item/cac:ClassifiedTaxCategory</t>
  </si>
  <si>
    <t>https://docs.peppol.eu/poacc/billing/3.0/syntax/ubl-creditnote/cac-CreditNoteLine/cac-Item/cac-ClassifiedTaxCategory/</t>
  </si>
  <si>
    <t>ubl:CreditNote/cac:CreditNoteLine/cac:Item/cac:ClassifiedTaxCategory/cbc:ID</t>
  </si>
  <si>
    <t>https://docs.peppol.eu/poacc/billing/3.0/syntax/ubl-creditnote/cac-CreditNoteLine/cac-Item/cac-ClassifiedTaxCategory/cbc-ID/</t>
  </si>
  <si>
    <t>ubl:CreditNote/cac:CreditNoteLine/cac:Item/cac:ClassifiedTaxCategory/cbc:Percent</t>
  </si>
  <si>
    <t>https://docs.peppol.eu/poacc/billing/3.0/syntax/ubl-creditnote/cac-CreditNoteLine/cac-Item/cac-ClassifiedTaxCategory/cbc-Percent/</t>
  </si>
  <si>
    <t>ubl:CreditNote/cac:CreditNoteLine/cac:Item/cac:ClassifiedTaxCategory/cac:TaxScheme</t>
  </si>
  <si>
    <t>https://docs.peppol.eu/poacc/billing/3.0/syntax/ubl-creditnote/cac-CreditNoteLine/cac-Item/cac-ClassifiedTaxCategory/cac-TaxScheme/</t>
  </si>
  <si>
    <t>ubl:CreditNote/cac:CreditNoteLine/cac:Item/cac:ClassifiedTaxCategory/cac:TaxScheme/cbc:ID</t>
  </si>
  <si>
    <t>https://docs.peppol.eu/poacc/billing/3.0/syntax/ubl-creditnote/cac-CreditNoteLine/cac-Item/cac-ClassifiedTaxCategory/cac-TaxScheme/cbc-ID/</t>
  </si>
  <si>
    <t>ubl:CreditNote/cac:CreditNoteLine/cac:Item/cac:AdditionalItemProperty</t>
  </si>
  <si>
    <t>https://docs.peppol.eu/poacc/billing/3.0/syntax/ubl-creditnote/cac-CreditNoteLine/cac-Item/cac-AdditionalItemProperty/</t>
  </si>
  <si>
    <t>ubl:CreditNote/cac:CreditNoteLine/cac:Item/cac:AdditionalItemProperty/cbc:Name</t>
  </si>
  <si>
    <t>https://docs.peppol.eu/poacc/billing/3.0/syntax/ubl-creditnote/cac-CreditNoteLine/cac-Item/cac-AdditionalItemProperty/cbc-Name/</t>
  </si>
  <si>
    <t>ubl:CreditNote/cac:CreditNoteLine/cac:Item/cac:AdditionalItemProperty/cbc:Value</t>
  </si>
  <si>
    <t>https://docs.peppol.eu/poacc/billing/3.0/syntax/ubl-creditnote/cac-CreditNoteLine/cac-Item/cac-AdditionalItemProperty/cbc-Value/</t>
  </si>
  <si>
    <t>ubl:CreditNote/cac:CreditNoteLine/cac:Price</t>
  </si>
  <si>
    <t>https://docs.peppol.eu/poacc/billing/3.0/syntax/ubl-creditnote/cac-CreditNoteLine/cac-Price/</t>
  </si>
  <si>
    <t>ubl:CreditNote/cac:CreditNoteLine/cac:Price/cbc:PriceAmount</t>
  </si>
  <si>
    <t>https://docs.peppol.eu/poacc/billing/3.0/syntax/ubl-creditnote/cac-CreditNoteLine/cac-Price/cbc-PriceAmount/</t>
  </si>
  <si>
    <t>ubl:CreditNote/cac:CreditNoteLine/cac:Price/cbc:PriceAmount/@currencyID</t>
  </si>
  <si>
    <t>https://docs.peppol.eu/poacc/billing/3.0/syntax/ubl-creditnote/cac-CreditNoteLine/cac-Price/cbc-PriceAmount/currencyID/</t>
  </si>
  <si>
    <t>ubl:CreditNote/cac:CreditNoteLine/cac:Price/cbc:BaseQuantity</t>
  </si>
  <si>
    <t>https://docs.peppol.eu/poacc/billing/3.0/syntax/ubl-creditnote/cac-CreditNoteLine/cac-Price/cbc-BaseQuantity/</t>
  </si>
  <si>
    <t>ubl:CreditNote/cac:CreditNoteLine/cac:Price/cbc:BaseQuantity/@unitCode</t>
  </si>
  <si>
    <t>https://docs.peppol.eu/poacc/billing/3.0/syntax/ubl-creditnote/cac-CreditNoteLine/cac-Price/cbc-BaseQuantity/unitCode/</t>
  </si>
  <si>
    <t>ubl:CreditNote/cac:CreditNoteLine/cac:Price/cac:AllowanceCharge</t>
  </si>
  <si>
    <t>https://docs.peppol.eu/poacc/billing/3.0/syntax/ubl-creditnote/cac-CreditNoteLine/cac-Price/cac-AllowanceCharge/</t>
  </si>
  <si>
    <t>ubl:CreditNote/cac:CreditNoteLine/cac:Price/cac:AllowanceCharge/cbc:ChargeIndicator</t>
  </si>
  <si>
    <t>https://docs.peppol.eu/poacc/billing/3.0/syntax/ubl-creditnote/cac-CreditNoteLine/cac-Price/cac-AllowanceCharge/cbc-ChargeIndicator/</t>
  </si>
  <si>
    <t>ubl:CreditNote/cac:CreditNoteLine/cac:Price/cac:AllowanceCharge/cbc:Amount</t>
  </si>
  <si>
    <t>https://docs.peppol.eu/poacc/billing/3.0/syntax/ubl-creditnote/cac-CreditNoteLine/cac-Price/cac-AllowanceCharge/cbc-Amount/</t>
  </si>
  <si>
    <t>ubl:CreditNote/cac:CreditNoteLine/cac:Price/cac:AllowanceCharge/cbc:Amount/@currencyID</t>
  </si>
  <si>
    <t>https://docs.peppol.eu/poacc/billing/3.0/syntax/ubl-creditnote/cac-CreditNoteLine/cac-Price/cac-AllowanceCharge/cbc-Amount/currencyID/</t>
  </si>
  <si>
    <t>ubl:CreditNote/cac:CreditNoteLine/cac:Price/cac:AllowanceCharge/cbc:BaseAmount</t>
  </si>
  <si>
    <t>https://docs.peppol.eu/poacc/billing/3.0/syntax/ubl-creditnote/cac-CreditNoteLine/cac-Price/cac-AllowanceCharge/cbc-BaseAmount/</t>
  </si>
  <si>
    <t>ubl:CreditNote/cac:CreditNoteLine/cac:Price/cac:AllowanceCharge/cbc:BaseAmount/@currencyID</t>
  </si>
  <si>
    <t>https://docs.peppol.eu/poacc/billing/3.0/syntax/ubl-creditnote/cac-CreditNoteLine/cac-Price/cac-AllowanceCharge/cbc-BaseAmount/currencyID/</t>
  </si>
  <si>
    <t>Create and register a Peppol participant identifier</t>
  </si>
  <si>
    <t>A Peppol participant identifier is normally selected from an existing authoritative business identifier; Peppol does not issue a single universal company number. Registration is published through an SMP.</t>
  </si>
  <si>
    <t>What the Peppol participant identifier is and how it is composed</t>
  </si>
  <si>
    <t>What it is</t>
  </si>
  <si>
    <t>The Peppol participant identifier is the unique network address used to discover where an organisation can receive Peppol documents. It identifies the participant, not an individual invoice, user or software account.</t>
  </si>
  <si>
    <t>How it is composed</t>
  </si>
  <si>
    <t>It is composed as iso6523-actorid-upis::{scheme code}:{identifier value}. This is string construction, not a mathematical calculation.</t>
  </si>
  <si>
    <t>Scheme code</t>
  </si>
  <si>
    <t>The four-digit scheme code identifies the authoritative identifier system and must be allowed by the current Peppol Participant Identifier Schemes code list. Example: 0088 identifies a GLN.</t>
  </si>
  <si>
    <t>What is a GLN?</t>
  </si>
  <si>
    <t>A Global Location Number (GLN) is a 13-digit identifier issued under the GS1 system. It can identify a legal entity, a physical location such as an office or warehouse, or a business function such as an accounts-payable department. The final digit is a check digit.</t>
  </si>
  <si>
    <t>Identifier value</t>
  </si>
  <si>
    <t>The value comes from the relevant registry or issuing authority, such as a GLN, VAT number or company identifier. The Access Point validates and normalises it but does not invent it.</t>
  </si>
  <si>
    <t>Worked example</t>
  </si>
  <si>
    <t>Scheme 0088 plus GLN 1234567890123 becomes iso6523-actorid-upis::0088:1234567890123 for Peppol discovery. In a UBL EndpointID, the scheme and value are normally represented separately as schemeID=0088 and value=1234567890123.</t>
  </si>
  <si>
    <t>Stage</t>
  </si>
  <si>
    <t>Data field</t>
  </si>
  <si>
    <t>Direction / owner</t>
  </si>
  <si>
    <t>Example</t>
  </si>
  <si>
    <t>Validation before activation</t>
  </si>
  <si>
    <t>Peppol artefact</t>
  </si>
  <si>
    <t>Platform stores</t>
  </si>
  <si>
    <t>Sensitive?</t>
  </si>
  <si>
    <t>Notes</t>
  </si>
  <si>
    <t>Identify legal entity</t>
  </si>
  <si>
    <t>Legal entity name</t>
  </si>
  <si>
    <t>Product/customer → platform</t>
  </si>
  <si>
    <t>Example Trading Ltd</t>
  </si>
  <si>
    <t>Non-blank; match authoritative evidence</t>
  </si>
  <si>
    <t>Onboarding evidence</t>
  </si>
  <si>
    <t>Display/support data; not itself the participant ID</t>
  </si>
  <si>
    <t>Country / jurisdiction</t>
  </si>
  <si>
    <t>ISO 3166-1 alpha-2; supported jurisdiction</t>
  </si>
  <si>
    <t>Identifier scheme selection</t>
  </si>
  <si>
    <t>Drives eligible identifier schemes and country rules</t>
  </si>
  <si>
    <t>Select scheme</t>
  </si>
  <si>
    <t>Participant identifier scheme code</t>
  </si>
  <si>
    <t>Product/customer or platform policy</t>
  </si>
  <si>
    <t>0088 / 9932</t>
  </si>
  <si>
    <t>Must exist and be active in the Peppol Participant Identifier Schemes code list</t>
  </si>
  <si>
    <t>ISO 6523 ICD / Peppol code list</t>
  </si>
  <si>
    <t>Examples vary by country: 0088 is GLN; 9932 is UK VAT</t>
  </si>
  <si>
    <t>Select value</t>
  </si>
  <si>
    <t>GLN 1234567890123</t>
  </si>
  <si>
    <t>Scheme-specific pattern/check digit/case/normalisation</t>
  </si>
  <si>
    <t>Participant identifier</t>
  </si>
  <si>
    <t>Potentially</t>
  </si>
  <si>
    <t>Use the authoritative business identifier; do not invent an arbitrary number</t>
  </si>
  <si>
    <t>Compose</t>
  </si>
  <si>
    <t>Canonical participant identifier</t>
  </si>
  <si>
    <t>Platform generated</t>
  </si>
  <si>
    <t>iso6523-actorid-upis::0088:1234567890123</t>
  </si>
  <si>
    <t>Lower-case scheme prefix; exact scheme/value composition; length rules</t>
  </si>
  <si>
    <t>SML/SMP participant ID</t>
  </si>
  <si>
    <t>Canonical form used for discovery and registration</t>
  </si>
  <si>
    <t>Verify</t>
  </si>
  <si>
    <t>Authoritative source and evidence reference</t>
  </si>
  <si>
    <t>Registry/VAT/GS1 evidence ID</t>
  </si>
  <si>
    <t>Evidence is current and relates to the legal entity</t>
  </si>
  <si>
    <t>Peppol KYC/identifier policy</t>
  </si>
  <si>
    <t>Store reference/metadata; minimise copies of identity documents</t>
  </si>
  <si>
    <t>Authority/consent to register</t>
  </si>
  <si>
    <t>Customer authorised user → platform</t>
  </si>
  <si>
    <t>Consent record ID</t>
  </si>
  <si>
    <t>Actor has permission to bind the identifier to this AP</t>
  </si>
  <si>
    <t>Contract/onboarding control</t>
  </si>
  <si>
    <t>Include timestamp, actor and terms version</t>
  </si>
  <si>
    <t>Check</t>
  </si>
  <si>
    <t>Internal duplicate / tenant ownership result</t>
  </si>
  <si>
    <t>Clear</t>
  </si>
  <si>
    <t>Identifier is not active for another tenant unless multi-tenant policy allows it</t>
  </si>
  <si>
    <t>Platform control</t>
  </si>
  <si>
    <t>Prevents accidental hijack or conflicting routing</t>
  </si>
  <si>
    <t>Peppol discovery/registration result</t>
  </si>
  <si>
    <t>SML/SMP → platform</t>
  </si>
  <si>
    <t>Not registered / registered</t>
  </si>
  <si>
    <t>Query using canonical identifier; handle existing AP and migration path</t>
  </si>
  <si>
    <t>SML DNS + SMP metadata</t>
  </si>
  <si>
    <t>Existing registration may require migration rather than new registration</t>
  </si>
  <si>
    <t>Configure service</t>
  </si>
  <si>
    <t>Document type identifier(s)</t>
  </si>
  <si>
    <t>Product/platform configuration</t>
  </si>
  <si>
    <t>Peppol BIS Billing Invoice 3</t>
  </si>
  <si>
    <t>Use current Peppol document type scheme/value; receiver capability supported</t>
  </si>
  <si>
    <t>SMP service metadata</t>
  </si>
  <si>
    <t>At least one receiving document type when receive capability is enabled</t>
  </si>
  <si>
    <t>Process identifier(s)</t>
  </si>
  <si>
    <t>Billing process 01</t>
  </si>
  <si>
    <t>Valid process identifier for each document type</t>
  </si>
  <si>
    <t>SMP process list</t>
  </si>
  <si>
    <t>Mandatory for each published receiving service</t>
  </si>
  <si>
    <t>Transport profile</t>
  </si>
  <si>
    <t>Peppol AS4 v2</t>
  </si>
  <si>
    <t>Allowed current Peppol transport profile</t>
  </si>
  <si>
    <t>SMP endpoint</t>
  </si>
  <si>
    <t>Only required for published receiving services</t>
  </si>
  <si>
    <t>AP endpoint URL</t>
  </si>
  <si>
    <t>https://ap.example/...</t>
  </si>
  <si>
    <t>HTTPS, reachable, production/test separation</t>
  </si>
  <si>
    <t>Published by the AP, not supplied by an end customer</t>
  </si>
  <si>
    <t>Transport certificate</t>
  </si>
  <si>
    <t>X.509 certificate</t>
  </si>
  <si>
    <t>Trusted Peppol PKI chain; valid dates; key use; rotation policy</t>
  </si>
  <si>
    <t>SMP endpoint certificate</t>
  </si>
  <si>
    <t>Private key must never be placed in the workbook or customer payload</t>
  </si>
  <si>
    <t>Publish</t>
  </si>
  <si>
    <t>SMP owner / publisher</t>
  </si>
  <si>
    <t>Platform configuration</t>
  </si>
  <si>
    <t>Contracted SMP</t>
  </si>
  <si>
    <t>Authorised SMP; correct environment</t>
  </si>
  <si>
    <t>SMP</t>
  </si>
  <si>
    <t>The Access Point may operate its own SMP or use another provider</t>
  </si>
  <si>
    <t>Registration effective date/time</t>
  </si>
  <si>
    <t>Platform/SMP → product</t>
  </si>
  <si>
    <t>7 Oct 2026, 10:00 UTC</t>
  </si>
  <si>
    <t>UTC timestamp; registration discoverable before marking ACTIVE</t>
  </si>
  <si>
    <t>Platform audit event</t>
  </si>
  <si>
    <t>Do not report active solely because the request was accepted</t>
  </si>
  <si>
    <t>Service activation / expiration dates</t>
  </si>
  <si>
    <t>Platform policy → SMP</t>
  </si>
  <si>
    <t>2026-10-07 / 2027-10-07</t>
  </si>
  <si>
    <t>Valid date range; renewal monitoring</t>
  </si>
  <si>
    <t>SMP endpoint metadata</t>
  </si>
  <si>
    <t>Use when supported/required by metadata and certificate policy</t>
  </si>
  <si>
    <t>Return</t>
  </si>
  <si>
    <t>Registration correlation ID</t>
  </si>
  <si>
    <t>Platform → product/customer</t>
  </si>
  <si>
    <t>reg_01J...</t>
  </si>
  <si>
    <t>Unique and immutable; traceable to audit record</t>
  </si>
  <si>
    <t>Platform API response</t>
  </si>
  <si>
    <t>Used for status polling and support</t>
  </si>
  <si>
    <t>Memorandum: all Peppol participant identifier schemes (official code list v9.7)</t>
  </si>
  <si>
    <t>This is the complete 105-entry code list, including historical deprecated and removed schemes. For a new registration, use only rows marked Active, Registrable = Yes and Usable for new registration = Yes. Deprecated schemes should not be selected for new participants. Removed schemes cannot be used after their removal date. The list is dynamic, so production validation should use the latest official Peppol code list.</t>
  </si>
  <si>
    <t>Scheme ID / alias</t>
  </si>
  <si>
    <t>Country / region</t>
  </si>
  <si>
    <t>What it identifies or relates to</t>
  </si>
  <si>
    <t>Issuing organisation</t>
  </si>
  <si>
    <t>State</t>
  </si>
  <si>
    <t>Registrable?</t>
  </si>
  <si>
    <t>Usable for new registration?</t>
  </si>
  <si>
    <t>Peppol example(s)</t>
  </si>
  <si>
    <t>Validation rules</t>
  </si>
  <si>
    <t>Identifier structure</t>
  </si>
  <si>
    <t>Usage notes</t>
  </si>
  <si>
    <t>Deprecation release</t>
  </si>
  <si>
    <t>Removal date</t>
  </si>
  <si>
    <t>FR:SIRENE</t>
  </si>
  <si>
    <t>France (FR)</t>
  </si>
  <si>
    <t>System Information et Repertoire des Entreprise et des Etablissements: SIRENE. Used for France (FR) participants and issued or governed by Institut National de la Statistique et des Etudes Economiques, (I.N.S.E.E.).</t>
  </si>
  <si>
    <t>Institut National de la Statistique et des Etudes Economiques, (I.N.S.E.E.)</t>
  </si>
  <si>
    <t>Active</t>
  </si>
  <si>
    <t>Example: 784301772
78430177200025</t>
  </si>
  <si>
    <t>RegEx: [0-9]{9}([0-9]{5})?
Check digits: Luhn Algorithm</t>
  </si>
  <si>
    <t>1) Number of characters: 9 characters ("SIREN") 14 " 9+5 ("SIRET"), The 9 character number designates an organization, The 14 character number designates a specific establishment of the organization designated by the first 9 characters.
2) Check digits: 9th &amp; 14th character respectively</t>
  </si>
  <si>
    <t>1.1.1 - Changed from FR:SIRET to FR:SIRENE (see ISU Jira ISU-231)</t>
  </si>
  <si>
    <t>SE:ORGNR</t>
  </si>
  <si>
    <t>Sweden (SE)</t>
  </si>
  <si>
    <t>Organisationsnummer. Used for Sweden (SE) participants and issued or governed by The National Tax Board.</t>
  </si>
  <si>
    <t>The National Tax Board</t>
  </si>
  <si>
    <t>Example: 2120000787</t>
  </si>
  <si>
    <t>RegEx: [0-9]{10}
Check digits: Luhn Algorithm</t>
  </si>
  <si>
    <t>1) 10 digits. 1st digit = Group number, 2nd - 9th digit = Ordinalnumber; 1st digit, = Group number, 10th digit = Check digit
2) Last digit.</t>
  </si>
  <si>
    <t>FR:SIRET</t>
  </si>
  <si>
    <t>SIRET-CODE. Used for France (FR) participants and issued or governed by DU PONT DE NEMOURS.</t>
  </si>
  <si>
    <t>DU PONT DE NEMOURS</t>
  </si>
  <si>
    <t>Example: 78430177200025</t>
  </si>
  <si>
    <t>RegEx: [0-9]{14}</t>
  </si>
  <si>
    <t>1) 14 digits
2) None</t>
  </si>
  <si>
    <t>FI:OVT</t>
  </si>
  <si>
    <t>Finland (FI)</t>
  </si>
  <si>
    <t>LY-tunnus. Used for Finland (FI) participants and issued or governed by National Board of Taxes, (Verohallitus).</t>
  </si>
  <si>
    <t>National Board of Taxes, (Verohallitus)</t>
  </si>
  <si>
    <t>Removed</t>
  </si>
  <si>
    <t>Example: 0037:00371234567800001
0037:1234567800001</t>
  </si>
  <si>
    <t>RegEx: (0037)?[0-9]{7}-?[0-9][0-9A-Z]{0,5}
Check Digit: mod11 of 8-digit OrgCode (weights 2, 4, 8, 5, 10, 9, 7 [right to left] or 7, 9, 10, 5, 8, 4, 2, 1 [left to right])</t>
  </si>
  <si>
    <t>1) ICD 4 Digits, Organization code (8 digits, 1st-7th digit = number, 8th digit = check number), optional specifier for organisational unit (5 digits)
- Example: 00371234567800001
- 0037 Country code for Finland (ISO 6523  International Code Designator (ICD) value)
- 12345678 Business ID without hyphen 
- 00001 Optional specifier for organisation unit (assigned by the organisation itself)</t>
  </si>
  <si>
    <t>OVT identifier conforming to standard ISO6523.   
- Constant 0037 (Finnish tax administration organisation code)
- Finnish local tax ID, 8 characters with initial zero and no hyphen
+K4:K5</t>
  </si>
  <si>
    <t>8.9</t>
  </si>
  <si>
    <t>2024-12-31</t>
  </si>
  <si>
    <t>DUNS</t>
  </si>
  <si>
    <t>International</t>
  </si>
  <si>
    <t>Data Universal Numbering System (D-U-N-S Number). Used for International participants and issued or governed by Dun and Bradstreet Ltd.</t>
  </si>
  <si>
    <t>Dun and Bradstreet Ltd</t>
  </si>
  <si>
    <t>Example: 812810734</t>
  </si>
  <si>
    <t>RegEx: [0-9]{9}</t>
  </si>
  <si>
    <t>1) Eight identification digits and a check digit. A two digit prefix will be added in the future but it will not be used to calculate the check digit.
2) The Organization name is not part of the D-U-N-S number.</t>
  </si>
  <si>
    <t>Check digits were removed to get a bigger number area
UPIK search to validate DUNS numbers
"D&amp;B Direct 2.0" API available</t>
  </si>
  <si>
    <t>GLN</t>
  </si>
  <si>
    <t>Global Location Number. Used for International participants and issued or governed by GS1 GLN.</t>
  </si>
  <si>
    <t>GS1 GLN</t>
  </si>
  <si>
    <t>Example: 1548079098355</t>
  </si>
  <si>
    <t>RegEx: [0-9]{13}
Check Digit: mod10 (weights 1, 3)</t>
  </si>
  <si>
    <t>1) 13 digits including check digits, 2) None</t>
  </si>
  <si>
    <t>GLN-13 are the only supports supported atm</t>
  </si>
  <si>
    <t>DK:P</t>
  </si>
  <si>
    <t>Denmark (DK)</t>
  </si>
  <si>
    <t>The Danish Business Authority - P-number (DK:P). Used for Denmark (DK) participants and issued or governed by The Danish Business Authority.</t>
  </si>
  <si>
    <t>The Danish Business Authority</t>
  </si>
  <si>
    <t>RegEx: [0-9]{10}</t>
  </si>
  <si>
    <t>XXXXXXXXXX
10 digits eg. 1234567890</t>
  </si>
  <si>
    <t>A P-number that represents a production unit.</t>
  </si>
  <si>
    <t>IT:FTI</t>
  </si>
  <si>
    <t>Italy (IT)</t>
  </si>
  <si>
    <t>FTI - Ediforum Italia. Used for Italy (IT) participants and issued or governed by FTI - Ediforum Italia.</t>
  </si>
  <si>
    <t>FTI - Ediforum Italia</t>
  </si>
  <si>
    <t>RegEx: [0-9]{11,16}
The check digit algorithm is the one published in the Gazzetta Ufficiale no 345 of December 29 1976.</t>
  </si>
  <si>
    <t>Character repertoire: The EDI identifier consists of digits only.
The identifier has a fixed length.
No separators are required.
Structure: [1234567] [123] [1] [12345], min 11- max 16, &lt; &gt;, A B C D
A: numerical value (7 digits) assigned by Uffico Provinciale IVA (local branch of Ministry of Finance)
B: numerical value a (3 digits) identifying the County
C: numerical check digit (1 digit);
D: optional numerical value (up to 5 digits used by the registered organization (free part).
Check digit computation: The check digit algorithm is the one published in the Gazzetta Ufficiale no 345 of December 29 1976.</t>
  </si>
  <si>
    <t>We couldn't find the checksum algorithm in the scanned PDF of 1976
Proposed to deprecate</t>
  </si>
  <si>
    <t>NL:KVK</t>
  </si>
  <si>
    <t>Netherlands (NL)</t>
  </si>
  <si>
    <t>Vereniging van Kamers van Koophandel en Fabrieken in Nederland (Association of
Chambers of Commerce and Industry in the Netherlands), Scheme. Used for Netherlands (NL) participants and issued or governed by Vereniging van Kamers van Koophandel en Fabrieken in Nederland.</t>
  </si>
  <si>
    <t>Vereniging van Kamers van Koophandel en Fabrieken in Nederland</t>
  </si>
  <si>
    <t>RegEx: [0-9]{17}
Check Digits: mod97</t>
  </si>
  <si>
    <t>Character repertoire: The EDI identifier consists of digits only.
The identifier has a fixed length.
No separators are required.
Structure: [123] [123456] [123456] [12], 17, &lt; &gt;, A B C D
A: numerical value allocated by the RA to the regional subauthority, (3 digits)
B: numerical value allocated by the sub-authority to the registered, organization (mandatory part of the identifier; 6 digits)
C: numerical value used by the registered organization (free part; 6 digits)
D: numerical check digit calculated by the registered organization; (2 digits)
Check digit computation, The check digit is modular 97 computed on ABC as one number.</t>
  </si>
  <si>
    <t>Real numbers seem to be 8 characters</t>
  </si>
  <si>
    <t>EU:NAL</t>
  </si>
  <si>
    <t>Directorates of the European Commission. Used for International participants and issued or governed by European Commission, Information Directorate, Data Transmission Service.</t>
  </si>
  <si>
    <t>European Commission, Information Directorate, Data Transmission Service</t>
  </si>
  <si>
    <t>1) ICD 4 digits, 2) None</t>
  </si>
  <si>
    <t>Requested by TICC-10 and TICC-11;
in SML since 2019-08-23</t>
  </si>
  <si>
    <t>IT:SIA</t>
  </si>
  <si>
    <t>SIA Object Identifiers. Used for Italy (IT) participants and issued or governed by SIA-Società Interbancaria per l'Automazione S.p.A..</t>
  </si>
  <si>
    <t>SIA-Società Interbancaria per l'Automazione S.p.A.</t>
  </si>
  <si>
    <t>First field: ICD: 4 digits, Second field: sequence of digits</t>
  </si>
  <si>
    <t>Propose to deprecate</t>
  </si>
  <si>
    <t>IT:SECETI</t>
  </si>
  <si>
    <t>SECETI Object Identifiers. Used for Italy (IT) participants and issued or governed by Servizi Centralizzati SECETI S.p.A..</t>
  </si>
  <si>
    <t>Servizi Centralizzati SECETI S.p.A.</t>
  </si>
  <si>
    <t>1) First field: ICD: 4 digits, Second field: sequence of digits</t>
  </si>
  <si>
    <t>AU:ABN</t>
  </si>
  <si>
    <t>Australia (AU)</t>
  </si>
  <si>
    <t>Australian Business Number (ABN) Scheme. Used for Australia (AU) participants and issued or governed by Australian Taxation Office.</t>
  </si>
  <si>
    <t>Australian Taxation Office</t>
  </si>
  <si>
    <t>Example: 51 824 753 556</t>
  </si>
  <si>
    <t>RegEx: [0-9]{11}
Check number: mod 89 (weights)
* Subtract 1 from the first (left-most) digit of the ABN to give a new 11 digit number
* Multiply each of the digits in this new number by a "weighting factor" based on its position as shown in the table below
*Sum the resulting 11 products
* Divide the sum total by 89, noting the remainder
* If the remainder is zero the number is a valid ABN
Weight: 10, 1, 3, 5, 7, 9, 11, 13, 15, 17, 19</t>
  </si>
  <si>
    <t>The ABN is an 11 digit numeric identifier.
The first two digits are check digits calculated using a modulus 89 of the weighted digits.
The first digit of the number is guaranteed to be non-zero by adding 10 to the modulus (so the first two digits range from 10 through to 99).
For companies the last 9 digits are identical to their existing Australian Company Number (CAN) which includes a single trailing check digit.
For other entities the digits are randomly allocated but are guaranteed to fail the CAN check. This allows the Australian Securities and Investment Commission (ASIC) to continue allocating CAN during a transition period. The valid characters are numeric digits 0-9.</t>
  </si>
  <si>
    <t>https://abr.business.gov.au/Help/AbnFormat</t>
  </si>
  <si>
    <t>SK:ICO</t>
  </si>
  <si>
    <t>Slovakia (SK)</t>
  </si>
  <si>
    <t>Identification number of economic subject (ICO). Used for Slovakia (SK) participants and issued or governed by Slovak Statistical Office.</t>
  </si>
  <si>
    <t>Slovak Statistical Office</t>
  </si>
  <si>
    <t>RegEx: [0-9]{8}
Check number: mod11 (weights: 8, 7, 6, 5, 4, 3, 2)</t>
  </si>
  <si>
    <t>1) 8 characters (fixed length)
2) Check character: 8th digit</t>
  </si>
  <si>
    <t>The identification number ICO is used in Slovakia in almost all administrative acts (tax system, banking system, statistics, etc.)</t>
  </si>
  <si>
    <t>CH:UIDB</t>
  </si>
  <si>
    <t>Switzerland (CH)</t>
  </si>
  <si>
    <t>Swiss Unique Business Identification Number (UIDB). Used for Switzerland (CH) participants and issued or governed by Swiss Federal Statistical Office (FSO).</t>
  </si>
  <si>
    <t>Swiss Federal Statistical Office (FSO)</t>
  </si>
  <si>
    <t>RegEx: CHE[0-9]{9}
Check number: mod11 (weights: 5, 4, 3, 2, 7, 6, 5, 4)</t>
  </si>
  <si>
    <t>CHEXXXXXXXXP
UID number, is composed by 9 digits and is random generated and has no internal means.
1)
12 characters
CHE: Swiss Country Code following ISO 3166-1.
XXXXXXXX: 8 digits for the number itself
P: check digit
2)
CHEXXXXXXXXP, the last digit</t>
  </si>
  <si>
    <t>Also called "Numéro d'identification suisse des enterprises (IDE)"</t>
  </si>
  <si>
    <t>DK:DIGST</t>
  </si>
  <si>
    <t>The Danish Business Authority - CVR-number (DK:CVR). Used for Denmark (DK) participants and issued or governed by The Danish Business Authority.</t>
  </si>
  <si>
    <t>RegEx: [1-9][0-9]{7}</t>
  </si>
  <si>
    <t>XXXXXXXX
8 digits eg. 12345678</t>
  </si>
  <si>
    <t>A CVR number uniquely identifies a legal entity. CVR stands for “Central Business Register” and contains information about all registered companies in Denmark.</t>
  </si>
  <si>
    <t>JP:SST</t>
  </si>
  <si>
    <t>Japan (JP)</t>
  </si>
  <si>
    <t>Corporate Number of The Social Security and Tax Number System. Used for Japan (JP) participants and issued or governed by National Tax Agency Japan.</t>
  </si>
  <si>
    <t>National Tax Agency Japan</t>
  </si>
  <si>
    <t>12-digit fundamental numbers, and a one-digit check numeral put ahead of them
1) Figure of 13 digits
2) Figures from 1 to 9 (Formula to calculate the test number) Formula 9-((n = 1 (Sigma)12( Pn * Qn )) remainder obtained by dividing the 9)
Pn : the numeral of the n-th digit of a fundamental number, when counted from the bottom digit.
Qn : one when the "n" is an odd number, two when the "n" is an even one</t>
  </si>
  <si>
    <t>NL:OINO</t>
  </si>
  <si>
    <t>Organisatie-identificatienummer (OIN). Used for Netherlands (NL) participants and issued or governed by Logius.</t>
  </si>
  <si>
    <t>Logius</t>
  </si>
  <si>
    <t>Example: 00000001820029336000</t>
  </si>
  <si>
    <t>RegEx: [0-9]{20}</t>
  </si>
  <si>
    <t>20 digits
1) Structure: prefix(8)- identification number(8 or 9)- suffix(3 or 4)
- The first 8 digits prefix designates the origin of the identification number
- The following 8 or 9 digits designates a unique identification number
- The last 3 or 4 (depending on the length of the identification number are filled with “0” digit [note: Up until 2017 numbers are issued where this position contains a serial number.]
2) No check digit</t>
  </si>
  <si>
    <t>Get all OIN’s from: https://oinregister.logius.nl/oin-register</t>
  </si>
  <si>
    <t>EE:CC</t>
  </si>
  <si>
    <t>Estonia (EE)</t>
  </si>
  <si>
    <t>Company code. Used for Estonia (EE) participants and issued or governed by Centre of Registers and Information Systems of the Ministry of Justice.</t>
  </si>
  <si>
    <t>Centre of Registers and Information Systems of the Ministry of Justice</t>
  </si>
  <si>
    <t>Example: 10137025</t>
  </si>
  <si>
    <t>RegEx: [1789][0-9]{7}
CheckDigit as last char.
Python code to check:
def calc_check_digit(number):
    """Calculate the check digit."""
    check = sum(((i % 9) + 1) * int(n)
                for i, n in enumerate(number[:-1])) % 11
    if check == 10:
        check = sum((((i + 2) % 9) + 1) * int(n)
                    for i, n in enumerate(number[:-1])) % 11
    return str(check % 10)</t>
  </si>
  <si>
    <t>Always 8-digit number
1) First number in code:
1 – Commercial organisations
7 -- State agencies and local government institutions
8 -- Non-profit associations
9 -- Foundations
2)</t>
  </si>
  <si>
    <t>See https://ariregister.rik.ee/index?lang=eng</t>
  </si>
  <si>
    <t>NO:ORG</t>
  </si>
  <si>
    <t>Norway (NO)</t>
  </si>
  <si>
    <t>Organisasjonsnummer. Used for Norway (NO) participants and issued or governed by The Brønnøysund Register Centre.</t>
  </si>
  <si>
    <t>The Brønnøysund Register Centre</t>
  </si>
  <si>
    <t>Example: 745707327</t>
  </si>
  <si>
    <t>RegEx: [0-9]{9}
Check digit: mod11 (weights 3, 2, 7, 6, 5, 4, 3)</t>
  </si>
  <si>
    <t>9 digits
The organization number consists of 9 digits where the last digit is a control digit calculated with standard weights, modulus 11. After this, weights 3, 2, 7, 6, 5, 4, 3 and 2 are calculated from the first digit.</t>
  </si>
  <si>
    <t>UBLBE</t>
  </si>
  <si>
    <t>Belgium (BE)</t>
  </si>
  <si>
    <t>UBL.BE Party Identifier. Used for Belgium (BE) participants and issued or governed by UBL.BE.</t>
  </si>
  <si>
    <t>UBL.BE</t>
  </si>
  <si>
    <t>Deprecated</t>
  </si>
  <si>
    <t>RegEx: .{4,50}</t>
  </si>
  <si>
    <t>Maximum 50 characters
4 Characters fixed length identifying the type 
Maximum 46 characters for the identifier itself</t>
  </si>
  <si>
    <t>Use 0208 instead</t>
  </si>
  <si>
    <t>9.6</t>
  </si>
  <si>
    <t>2026-07-07</t>
  </si>
  <si>
    <t>SG:UEN</t>
  </si>
  <si>
    <t>Singapore (SG)</t>
  </si>
  <si>
    <t>Singapore Nationwide E-Invoice Framework. Used for Singapore (SG) participants and issued or governed by lnfocomm Media Development Authority.</t>
  </si>
  <si>
    <t>lnfocomm Media Development Authority</t>
  </si>
  <si>
    <t>RegEx: [a-z]{2}[a-z]{3}([0-9]{8}|[0-9]{9}|[RST][0-9]{2}[a-z]{2}[0-9]{4})[0-9a-z]</t>
  </si>
  <si>
    <t>The code comprises of 3 fields
1st field = ICD
2nd field = Special identifier (e.g. country identifier, test identifier, etc)
3rd field = Organisation identifrer No check value</t>
  </si>
  <si>
    <t>https://www.uen.gov.sg/ueninternet/faces/pages/admin/aboutUEN.jspx?_afrLoop=1018044967911865&amp;_afrWindowMode=0&amp;_adf.ctrl-state=fdr4mq9l0_26</t>
  </si>
  <si>
    <t>IS:KTNR</t>
  </si>
  <si>
    <t>Iceland (IS)</t>
  </si>
  <si>
    <t>Icelandic identifier. Used for Iceland (IS) participants and issued or governed by Icelandic National Registry.</t>
  </si>
  <si>
    <t>Icelandic National Registry</t>
  </si>
  <si>
    <t>RegEx: [0-9]{10}
Check digit: mod11 (weights 3, 2, 7, 6, 5, 4, 3, 2)</t>
  </si>
  <si>
    <t>10 digit string using numerical characters from 0 to 9
Based on individuals birthdate or legal entities registration date D1D2M1M2Y1Y2R1R2CM D = day, M = month, Y = year, R = random. C = checksum, M = century.
Ninth character "C":
C = 11 - ((3xD1 + 2xD2 + 7xM1 + 6xM2 + 5xY1 + 4xY2 + 3xR1 + 2xR2) mod 11)</t>
  </si>
  <si>
    <t>DK:ERST</t>
  </si>
  <si>
    <t>The Danish Business Authority - SE-number (DK:SE). Used for Denmark (DK) participants and issued or governed by The Danish Business Authority.</t>
  </si>
  <si>
    <t>RegEx: DK[0-9]{8}
Check digit: mod11 (weights 2, 7, 6, 5, 4, 3, 2, 1)</t>
  </si>
  <si>
    <t>DKXXXXXXXX
Two characters (DK) followed by 8 digits eg. DK12345678</t>
  </si>
  <si>
    <t>LEI</t>
  </si>
  <si>
    <t>Legal Entity Identifier (LEI). Used for International participants and issued or governed by As of December 2018, there are 33 LEI issuing organizations in the world..</t>
  </si>
  <si>
    <t>As of December 2018, there are 33 LEI issuing organizations in the world.</t>
  </si>
  <si>
    <t>RegEx: [A-Z0-9]{18}[0-9]{2}
Check digit: mod97-10</t>
  </si>
  <si>
    <t>The ISO 17442 standard specifies the minimum reference data, which must the format of the organization identifiers, be Supplied for each LEI:
* The official name of the legal entity as recorded in the official registers.
* The registered address of that legal entity.
* The country of formation.
* The codes for the representation of names of countries and their subdivisions.
* The date of the first LEI assignment; the date of last update of the
* LEI information; and the date of expiry, if applicable.
Additional information may be registered as agreed between the legal entity and its LEI issuing organization.
The number allocation scheme was further specified in Annex 2 of the Financial Stability Board's third progress note on the Global LEI Initiative on 24 October 2012:
• Characters 1 -4: A four character prefix allocated uniquely to each LEI issuer.
• Characters 5-6: Two reserved characters set to zero.
• Characters 7-18: Entity-specific part of the code generated and assigned by LOUs according to transparent, sound and robust allocation policies.
• Characters 19-20: Two check digits as described in the ISO 17442 standards. The check digit scheme follows ISO/IEC 7064 (MOD 97-10) and contributes to avoiding typing errors.
See http://www.fsb.org/wp-contenVuploads/r_121024.pdf?page_moved=1
1:)
1. a) Character representations:
• n: digits (numeric characters 0 to 9 only);
• a: uppercase letters (alpha character, A-Z only, without "special" characters such as blanks, separators or punctuation).
2. b) Length indications:
• nn!: fixed length;
• nn: maximum length.
The format of the LEI shall be
-18!an2!n.
The LEI consists of 20 characters decomposed as follows: characters (18!an) without separators or "special" characters; the 19th and 20th characters (2!n) shall be the check digit or digits, as calculated from the scheme defined in this International Standard.
2:)
The check digits shall be calculated based on the scheme defined in ISO/IEC 7064 (MOD 97-10). See Annex A. The check digits are used to verify the LEI.
1. Convert letters to digits in accordance with the following:
A=10B=11 C=12D=13E=14
F=15G=16H=17I=18J=19
K=20 L = 21 M =22 N =23 0 =24
P =25Q = 26 R = 27 S = 28 T = 29
U = 30 V = 31 W = 32 X = 33 Y = 34 Z = 35
2. Apply the check character system, MOD 97-10, in accordance with ISO/IEC 7064.
3. If the remainder is 1 (one), the number is valid.
Generating the check digits
4. Add "00" to the right-hand end of the LEI.
5. Convert alpha characters into numeric characters in accordance with letters in #1.
6. Apply the check character system, MOD 97-10, in accordance with ISO/IEC 7064.</t>
  </si>
  <si>
    <t>LT:LEC</t>
  </si>
  <si>
    <t>Lithuania (LT)</t>
  </si>
  <si>
    <t>Legal entity code. Used for Lithuania (LT) participants and issued or governed by State Enterprise Centre of Registers.</t>
  </si>
  <si>
    <t>State Enterprise Centre of Registers</t>
  </si>
  <si>
    <t>Example: 111963319</t>
  </si>
  <si>
    <t>RegEx: [0-9]{9}
Check number: see text</t>
  </si>
  <si>
    <t>9 (nine) digits
Each legal entity's code number is multiplied by 1, 2, 3, 4, 5, 6, 7, 8
(weighting) starting from the left-hand side of the code. Calculates the sum of the product, divided by 11. The remainder of the division, which must be less than 10, is the 9th, control, number of the legal entity's code.</t>
  </si>
  <si>
    <t>IT:CUUO</t>
  </si>
  <si>
    <t>Codice Univoco Unità Organizzativa iPA. Used for Italy (IT) participants and issued or governed by Agenzia per l’Italia digitale.</t>
  </si>
  <si>
    <t>Agenzia per l’Italia digitale</t>
  </si>
  <si>
    <t>RegEx: [0-9a-zA-Z]{6}
No checkdigit</t>
  </si>
  <si>
    <t>String of 6 alphanumeric characters</t>
  </si>
  <si>
    <t>"Alphanumeric characters"</t>
  </si>
  <si>
    <t>DE:LWID</t>
  </si>
  <si>
    <t>Germany (DE)</t>
  </si>
  <si>
    <t>Peppol-Leitweg-ID. Used for Germany (DE) participants and issued or governed by Koordinierungsstelle für IT-Standards (KoSIT).</t>
  </si>
  <si>
    <t>Koordinierungsstelle für IT-Standards (KoSIT)</t>
  </si>
  <si>
    <t>RegEx: [0-9]{2,12}(\-[0-9A-Z]{0,30})?\-[0-9]{2}</t>
  </si>
  <si>
    <t>Up to 46 alphanumeric characters
Format: &lt;Up to 12 numeric characters&gt;"-"&lt;up to 30 alphanumeric characters&gt;"–"&lt;2 numeric characters&gt;</t>
  </si>
  <si>
    <t>The fine grained part is optional</t>
  </si>
  <si>
    <t>IT:COD</t>
  </si>
  <si>
    <t>CODDEST. Used for Italy (IT) participants and issued or governed by Agenzia delle Entrate.</t>
  </si>
  <si>
    <t>Agenzia delle Entrate</t>
  </si>
  <si>
    <t>The code is 7 alphanumeric characters</t>
  </si>
  <si>
    <t>Participants with this ID CAN NOT be registered in the SMP/SML!</t>
  </si>
  <si>
    <t>BE:EN</t>
  </si>
  <si>
    <t>Numero d'entreprise / ondernemingsnummer / Unternehmensnummer. Used for Belgium (BE) participants and issued or governed by Banque-Carrefour des Entreprises (BCE) / Kruispuntbank van Ondernemingen (KBO) / Zentrale Datenbank der Unternehmen (ZOU)
Service public fédéral Economie, P.M.E. Classes moyennes et Energie.</t>
  </si>
  <si>
    <t>Banque-Carrefour des Entreprises (BCE) / Kruispuntbank van Ondernemingen (KBO) / Zentrale Datenbank der Unternehmen (ZOU)
Service public fédéral Economie, P.M.E. Classes moyennes et Energie</t>
  </si>
  <si>
    <t>RegEx: [01][0-9]{9}
Check digit: mod97
See https://github.com/arthurdejong/python-stdnum/blob/master/stdnum/be/vat.py</t>
  </si>
  <si>
    <t>10 numeric characters.
1. Enterprise identification number: the first digit has to be "0" or "1"</t>
  </si>
  <si>
    <t>GS1</t>
  </si>
  <si>
    <t>GS1 identification keys. Used for International participants and issued or governed by GS1.</t>
  </si>
  <si>
    <t>Example: 414541000099999325412345678901234567890</t>
  </si>
  <si>
    <t>See document "GS1 Application Standard for usage of ISO/IEC 6523 International Code Designator (ICD) 0209"</t>
  </si>
  <si>
    <t>The code will include an application identifier indicating the type of GS1 identification key used for an object, followed by the value of the key. The string can be completed by other application identifiers indicating attributes related to the GS1 ID key and the value of these attributes related to the identified object.</t>
  </si>
  <si>
    <t>IT:CFI</t>
  </si>
  <si>
    <t>CODICE FISCALE. Used for Italy (IT) participants and issued or governed by Agenzia delle Entrate.</t>
  </si>
  <si>
    <t>Character Repertoire : A to Z (upper case) and 0 to 9</t>
  </si>
  <si>
    <t>The code is 16 alphanumeric digits for natural persons or 11 numeric digits for legal persons.
The code is 16 alphanumeric digits for natural persons, with this structure:
3 digits - Surname according to specific rules
3 digits - Name according to specific rules
2 digits - Last two digits of year of birth
1 digit - Month of birth according to a specific conversion table
2 digits - Day of birth and gender
4 digits - Place of birth in a “Belfiore” code
1 digit - CIN – Control Internal Number
The code is 11 numeric digits for legal persons, with this structure:
7 digits - Progressive number
3 digits - Revenue Office ID
1 digit - check
Last digit for natural persons - CIN - Control Internal Number
Last digit for legal persons - Check</t>
  </si>
  <si>
    <t>IT:IVA</t>
  </si>
  <si>
    <t>PARTITA IVA. Used for Italy (IT) participants and issued or governed by Agenzia delle Entrate.</t>
  </si>
  <si>
    <t>RegEx: IT[0-9]{11}
first 7: company identifiers
next 3: province of residence (between "001" and "100"; or "120", "121", "888" "999")
Last: check digit
Check digit: Luhn</t>
  </si>
  <si>
    <t>The code is "IT" followed by 11 numeric digits
First 7 digits is a progressive number
The following 3 digits means the province of residence
The last digit is a check number, calculated using Luhn's Algorithm</t>
  </si>
  <si>
    <t>FI:ORG</t>
  </si>
  <si>
    <t>Finnish Organization Identifier. Used for Finland (FI) participants and issued or governed by State Treasury of Finland / Valtiokonttori.</t>
  </si>
  <si>
    <t>State Treasury of Finland / Valtiokonttori</t>
  </si>
  <si>
    <t>Character Repertoire: digits 0-9 and hyphen "-"</t>
  </si>
  <si>
    <t>9999999-9
nine characters
last digit after the hyphen is check character</t>
  </si>
  <si>
    <t>FI:VAT</t>
  </si>
  <si>
    <t>Finnish Organization Value Add Tax Identifier. Used for Finland (FI) participants and issued or governed by State Treasury of Finland / Valtiokonttori.</t>
  </si>
  <si>
    <t>Character Repertoire: digits 0-9 and FI</t>
  </si>
  <si>
    <t>FI99999999
ten characters</t>
  </si>
  <si>
    <t>FI:NSI</t>
  </si>
  <si>
    <t>Net service ID. Used for Finland (FI) participants and issued or governed by Tieto Finland Oy.</t>
  </si>
  <si>
    <t>Tieto Finland Oy</t>
  </si>
  <si>
    <t>Character Repertoire: Letters A-Z, digits 0-9</t>
  </si>
  <si>
    <t>xxnnnnnnnnnnnnxxxxx
xx = operator prefix (example TE)
nnnnnnnnnnnnxxxxx = the organisation identification number of the
undertaking, which may be a VAT code, or a national organisation
number supplemented by the organisation number with an ICD code in front of the organisation number and may be followed by a
company-specific specification.
max thirty-five (35) characters</t>
  </si>
  <si>
    <t>An example of Net Service ID: TE003701011385TEST</t>
  </si>
  <si>
    <t>FI:OVT2</t>
  </si>
  <si>
    <t>OVTcode. Used for Finland (FI) participants and issued or governed by TIEKE- Tietoyhteiskunnan kehittamiskeskus ry.</t>
  </si>
  <si>
    <t>TIEKE- Tietoyhteiskunnan kehittamiskeskus ry</t>
  </si>
  <si>
    <t>Character Repertoire: Capital letters A-Z, digits 0-9</t>
  </si>
  <si>
    <t>0037NNNNNNNNXXXXX
The code consists of three parts: Prefix 0037, the Business ID and an optional suffix.
The 0037 in the beginning is a fixed value. The next eight characters are the organization's Finnish Business ID (Business Identity Code) without a hyphen. An optional suffix up to five characters in the end of OVT code can be used, for example, to refer to a department, profit center or location of an organization unit. The organization can choose the values of the suffix itself and the organization must take care of the uniqueness of each ID it uses.
The length of the code is thus 12…17 characters.
0037 = fixed prefix
NNNNNNNN = Finnish Business ID (numbers only with possible leading zeros)
XXXXX = optional suffix for organizational part ID [A…Z 0…9]</t>
  </si>
  <si>
    <t>An example of OVT code: 003704944842TST01</t>
  </si>
  <si>
    <t>LV:URN</t>
  </si>
  <si>
    <t>Latvia (LV)</t>
  </si>
  <si>
    <t>Unified registration number. Used for Latvia (LV) participants and issued or governed by The Register of Enterprises of the Republic of Latvia.</t>
  </si>
  <si>
    <t>The Register of Enterprises of the Republic of Latvia</t>
  </si>
  <si>
    <t>RegEx: [0-9]{9}([0-9]{2})?</t>
  </si>
  <si>
    <t>The unified registration number is an 11-digit code where first
character can be 4 or 5 or 6 (with the exception of mass media and
public-private partnerships whose unified registration number is
nine digits long)</t>
  </si>
  <si>
    <t>JP:IIN</t>
  </si>
  <si>
    <t>The registered number of the qualified invoice issuer. Used for Japan (JP) participants and issued or governed by Name: National Tax Agency Japan.</t>
  </si>
  <si>
    <t>Name: National Tax Agency Japan</t>
  </si>
  <si>
    <t>T + 13-digit integer
Figure of 14 digits
Figures from 1 to 9
(Formula to calculate the test number)
Formula 9 - ((n = 1 (Sigma)12( Pn * Qn )) remainder obtained by dividing the 9)
Pn: the numeral of the n-th digit of a fundamental number, when counted from the bottom digit.
Qn: one when the "n" is an odd number, two when the "n" is an even one</t>
  </si>
  <si>
    <t>Business entities need to submit application to be registered to issue qualified invoices.</t>
  </si>
  <si>
    <t>FR:CTC</t>
  </si>
  <si>
    <t>FRCTC Electronic Address. Used for France (FR) participants and issued or governed by AIFE (Agence pour l’Informatique Financière de l’Etat).</t>
  </si>
  <si>
    <t>AIFE (Agence pour l’Informatique Financière de l’Etat)</t>
  </si>
  <si>
    <t>RegEx: [A-Z-a-z0-9_\-]{1,130}</t>
  </si>
  <si>
    <t>The identifier is alphanumeric with 130 characters maximum</t>
  </si>
  <si>
    <t>The ICD registration will be updated, so that only the characters A-Z, a-z, 0-9 and special characters "-" and "_" will be allowed.</t>
  </si>
  <si>
    <t>MY:EIF</t>
  </si>
  <si>
    <t>Malaysia (MY)</t>
  </si>
  <si>
    <t>National e-Invoicing Framework. Used for Malaysia (MY) participants and issued or governed by Malaysia Digital Economy Corporation Sdn Bhd (MDEC).</t>
  </si>
  <si>
    <t>Malaysia Digital Economy Corporation Sdn Bhd (MDEC)</t>
  </si>
  <si>
    <t>1st field = ICD
2nd field = Special Identifier (e.g. country identifier, test identifier, etc)
3rd field = Organisation identifier
No check value</t>
  </si>
  <si>
    <t>For use in electronic messages in accordance to the National e-Invoicing framework on identification of organization</t>
  </si>
  <si>
    <t>AE:TIN</t>
  </si>
  <si>
    <t>United Arab Emirates (AE)</t>
  </si>
  <si>
    <t>UAE Tax Identification Number (TIN). Used for United Arab Emirates (AE) participants and issued or governed by UAE Federal Tax Authority.</t>
  </si>
  <si>
    <t>UAE Federal Tax Authority</t>
  </si>
  <si>
    <t>RegEx: 1[0-9]{9}</t>
  </si>
  <si>
    <t>The Tax Identification Number (TIN) is a unique number issued and managed solely by the UAE Federal Tax Authority (FTA) for each registered taxpayer. It is an official identifier that cannot be created or assigned by any other party.
A TIN comprises of 10 numerical digits:
- [1]: UAE country identifier in accordance with GCC agreement. This number must always be "1"
- [23456789]: business identifier, generated automatically by the FTA's core tax administration system at the time a person presents themselves for registration
- [X]: check digit (mathematically derived by adopting Luhn's
algorithm). Luhn's algorithm is as follows:
  a. Multiply each ODD-placed digit by 2
  b. Multiplying each EVEN-placed digit by 1
  b.1. If the product is less than 10, the number is retained as it is
  b.2 If the product is 10 or more, the units place and tens place digits is added to get a single value
  c. Take the sum of the digits from step b above
  d. Mod 10 of the unit's place of the sum of the values in
step c above</t>
  </si>
  <si>
    <t>LU:MAT</t>
  </si>
  <si>
    <t>Luxembourg (LU)</t>
  </si>
  <si>
    <t>Register of legal persons. Used for Luxembourg (LU) participants and issued or governed by Centre des technologies de l'information de l'Etat (CTIE).</t>
  </si>
  <si>
    <t>Centre des technologies de l'information de l'Etat (CTIE)</t>
  </si>
  <si>
    <t>RegEx: [0-9]{11}</t>
  </si>
  <si>
    <t>- 11 characters in total (Arabic numerals only)
- 4 first digits = year (may be 0000)
- Digits 5-6 = legal form of the legal person
Checksum: digit 11</t>
  </si>
  <si>
    <t>SPIS</t>
  </si>
  <si>
    <t>OpenPeppol Service Provider Identification Scheme. Used for International participants and issued or governed by OpenPeppol AISBL.</t>
  </si>
  <si>
    <t>OpenPeppol AISBL</t>
  </si>
  <si>
    <t>RegEx: [0-9]{6}(-[0-9A-Z_]{3,12}(\.[0-9A-Z\-\._~]{3,24})?)?</t>
  </si>
  <si>
    <t>The identifier must follow the following regular expression in a
case-insensitive way:
[0-9]{6}(-[0-9A-Z_]{3,12}(\.[0-9A-Z\-\._~]{3,24})?)?
The identifier consists of one to three parts: number of characters
and their significance, if any
- The mandatory Main ID - 6 characters
- The optional Peppol Use Case ID - 3 to 12 characters
- The optional Service Provider Suffix - 3 to 24 characters</t>
  </si>
  <si>
    <t>The identifier will have several applications within the Peppol
Network.</t>
  </si>
  <si>
    <t>NG:TID</t>
  </si>
  <si>
    <t>Nigeria (NG)</t>
  </si>
  <si>
    <t>Tax Identification (Tax ID). Used for Nigeria (NG) participants and issued or governed by Federal Inland Revenue Service Revenue (FIRS).</t>
  </si>
  <si>
    <t>Federal Inland Revenue Service Revenue (FIRS)</t>
  </si>
  <si>
    <t>RegEx: [0-9]{13}</t>
  </si>
  <si>
    <t>13 digits for Tax ID assigned to organizations
- YY - Last two digits of issuance year (e.g., 25 for 2025).
- SRC -Source of identity: 1 for individuals (NIN-based) 2 for corporate entities (CAC-based).
- SC - Numeric state code based on national standard (e.g., 24 for Lagos).
- HashFragment - 7-digit numeric fragment derived from the NIN or CAC Registration Number by extracting only numeric characters from a cryptographic hash (e.g., SHA-256).
- CheckDigit - Single-digit checksum calculated using the Luhn (Modulus 10) algorithm applied to the preceding numeric portion of the Tax ID.
Validation is done through internal database cross-checking and NIN/CAC registration linkages</t>
  </si>
  <si>
    <t>TINs are mandatory for all activities, tax filings, financial reporting, and government-related transactions in Nigeria</t>
  </si>
  <si>
    <t>SK:DIC</t>
  </si>
  <si>
    <t>Tax identification number (DIČ). Used for Slovakia (SK) participants and issued or governed by The tax office according to the local jurisdiction of the taxpayer.
Head office:
Financial Directorate of the Slovak Republic
Lazovná 63 , Banská Bystrica
974 01 Banská Bystrica
Slovakia.</t>
  </si>
  <si>
    <t>The tax office according to the local jurisdiction of the taxpayer.
Head office:
Financial Directorate of the Slovak Republic
Lazovná 63 , Banská Bystrica
974 01 Banská Bystrica
Slovakia</t>
  </si>
  <si>
    <t>10 characters (fixed length), the first digit determines the type of person or status of the person:
1- natural person
2- legal entity
3- foreign natural person
4- foreign legal entity
5- registered organizational unit
6- tax representative for the import of goods
7- VAT group
The DIČ number is divisible by 11.</t>
  </si>
  <si>
    <t>The tax identification number (DIČ) is an identifier that taxpayers are required to provide when dealing with the tax administrator.</t>
  </si>
  <si>
    <t>DE:GEBA</t>
  </si>
  <si>
    <t>German Electronic Business Address. Used for Germany (DE) participants and issued or governed by Koordinierungsstelle für IT-Standards (KoSIT).</t>
  </si>
  <si>
    <t>Koordinierungsstelle für IT-Standards (KoSIT)</t>
  </si>
  <si>
    <t>RegEx: DE[0-9]{9}(-[0-9]{5})?(\.[0-9A-Z]{1,8})?</t>
  </si>
  <si>
    <t>The identifier must follow the following regular expression in a case-insensitive way:
DE[0-9]{9}(-[0-9]{5})?(\.[0-9A-Z]{1,8})?
The identifier consists of one to three parts:
• The mandatory business identification number (W-IdNr) – DE followed by 9 digits
• The optional “distinctive feature (“Unterscheidungsmerkmal”) – separated by a hyphen and followed by 5 digits
• The optional “sub-address” suffix – separated by a period (Full stop) followed by 1 to 8 characters
The 9th digit of the business identification number (W-IdNr) is a check digit covering the preceding 8 digits.</t>
  </si>
  <si>
    <t>Organizations may only use their assigned business identification number. Organizations publish their GEBA including potential sub-address suffixes themselves</t>
  </si>
  <si>
    <t>OM:VAT</t>
  </si>
  <si>
    <t>Oman (OM)</t>
  </si>
  <si>
    <t>Oman Value Added Tax Identification Number (VATIN). Used for Oman (OM) participants and issued or governed by Tax Authority, Oman.</t>
  </si>
  <si>
    <t>Tax Authority, Oman</t>
  </si>
  <si>
    <t>Example: OM1100003554</t>
  </si>
  <si>
    <t>RegEx: OM[0-9]{10}</t>
  </si>
  <si>
    <t>12 characters including 2 letters and 10 digits numbers e.g., OM1100003554
[1-2] positions contain country identifier (OM for Oman)
[3-4] positions represent the location (residence/non-residence) and type of the organization (group/individual)
[5-12] positions generated automatically by OTA'S Tax Management System (TMS) at the time of registration.</t>
  </si>
  <si>
    <t>All organizations that are registered for VAT in Oman are obligated to issue and/or receive invoice electronically in the Sultanate of Oman and shall use the VATIN allocated by the Oman Tax Authority to uniquely identify themselves.</t>
  </si>
  <si>
    <t>DK:CPR</t>
  </si>
  <si>
    <t>Danish Ministry of the Interior and Health. Used for Denmark (DK) participants and issued or governed by Danish Ministry of the Interior and Health.</t>
  </si>
  <si>
    <t>Danish Ministry of the Interior and Health</t>
  </si>
  <si>
    <t>Personal identifier</t>
  </si>
  <si>
    <t>8.6</t>
  </si>
  <si>
    <t>2023-11-30</t>
  </si>
  <si>
    <t>DK:CVR</t>
  </si>
  <si>
    <t>The Danish Commerce and Companies Agency. Used for Denmark (DK) participants and issued or governed by The Danish Commerce and Companies Agency.</t>
  </si>
  <si>
    <t>The Danish Commerce and Companies Agency</t>
  </si>
  <si>
    <t>Example: 13585628</t>
  </si>
  <si>
    <t>RegEx: [1-9][0-9]{7}
Check digit: mod11 (weights, 2, 7, 6, 5, 4, 3, 2, 1)</t>
  </si>
  <si>
    <t>DK:SE</t>
  </si>
  <si>
    <t>Danish Ministry of Taxation, Central Customs and Tax Administration. Used for Denmark (DK) participants and issued or governed by Danish Ministry of Taxation, Central Customs and Tax Administration.</t>
  </si>
  <si>
    <t>Danish Ministry of Taxation, Central Customs and Tax Administration</t>
  </si>
  <si>
    <t>Example: DK26769388</t>
  </si>
  <si>
    <t>RegEx: DK[0-9]{8}
Taks: validate Check digit: mod11 (weights 2, 7, 6, 5, 4, 3, 2, 1)</t>
  </si>
  <si>
    <t>DK:VANS</t>
  </si>
  <si>
    <t>Danish VANS providers. Used for Denmark (DK) participants and issued or governed by Danish VANS providers.</t>
  </si>
  <si>
    <t>Danish VANS providers</t>
  </si>
  <si>
    <t>Propose to deprecate (only 7 identifiers, only IBM - all look like test)</t>
  </si>
  <si>
    <t>IT:VAT</t>
  </si>
  <si>
    <t>Ufficio responsabile gestione partite IVA. Used for Italy (IT) participants and issued or governed by undefined.</t>
  </si>
  <si>
    <t>Example: IT06363391001</t>
  </si>
  <si>
    <t>8.1</t>
  </si>
  <si>
    <t>2023-05-24</t>
  </si>
  <si>
    <t>IT:CF</t>
  </si>
  <si>
    <t>TAX Authority. Used for Italy (IT) participants and issued or governed by TAX Authority.</t>
  </si>
  <si>
    <t>TAX Authority</t>
  </si>
  <si>
    <t>Example: RSSBBR69C48F839A</t>
  </si>
  <si>
    <t>RegEx: [0-9]{11} (company identification)
first 7: company identifiers
next 3: province of residence (between "001" and "100"; or "120", "121", "888" "999")
Last: check digit
Check digit: Luhn
RegEx: [A-Z]{6}[0-9LMNPQRSTUV]{2}[ABCDEHLMPRST][0-9LMNPQRSTUV]{2}[A-Z][0-9LMNPQRSTUV]{3}[A-Z] (personal identification)
Check digit: https://github.com/arthurdejong/python-stdnum/blob/master/stdnum/it/codicefiscale.py</t>
  </si>
  <si>
    <t>NOTE: The "CF" is a Fiscal Code that can be "personal" or for a "legal entity".
The CF for legal entities is like the Italian VAT code (IT:VAT)</t>
  </si>
  <si>
    <t>NO:ORGNR</t>
  </si>
  <si>
    <t>Enhetsregisteret ved Bronnoysundregisterne. Used for Norway (NO) participants and issued or governed by The Brønnøysund Register Centre.</t>
  </si>
  <si>
    <t>Use 0192 instead</t>
  </si>
  <si>
    <t>8.3</t>
  </si>
  <si>
    <t>NO:VAT</t>
  </si>
  <si>
    <t>Norwegian VAT number. Used for Norway (NO) participants and issued or governed by Enhetsregisteret ved Bronnoysundregisterne.</t>
  </si>
  <si>
    <t>Enhetsregisteret ved Bronnoysundregisterne</t>
  </si>
  <si>
    <t>Example: 990399123MVA</t>
  </si>
  <si>
    <t>RegEx: NO[0-9]{9}MVA
Check digit: mod11 (weights 3, 2, 7, 6, 5, 4, 3)</t>
  </si>
  <si>
    <t>Numerical part is the OrgNumber</t>
  </si>
  <si>
    <t>1.1.0</t>
  </si>
  <si>
    <t>HU:VAT</t>
  </si>
  <si>
    <t>Hungary (HU)</t>
  </si>
  <si>
    <t>Hungary VAT number. Used for Hungary (HU) participants and issued or governed by undefined.</t>
  </si>
  <si>
    <t>RegEx: HU[0-9]{8}
Check digit: https://github.com/arthurdejong/python-stdnum/blob/master/stdnum/hu/anum.py</t>
  </si>
  <si>
    <t>EU:VAT</t>
  </si>
  <si>
    <t>National ministries of Economy. Used for International participants and issued or governed by undefined.</t>
  </si>
  <si>
    <t>RegEx: [A-Z]{2}[A-Z0-9]{,20}</t>
  </si>
  <si>
    <t>Must start with the country code</t>
  </si>
  <si>
    <t>Proposed to undeprecate; longest known is 18 chars (incl. country code)
Deprecated in 1.1.0</t>
  </si>
  <si>
    <t>EU:REID</t>
  </si>
  <si>
    <t>Business Registers Network. Used for International participants and issued or governed by Business Registers Network.</t>
  </si>
  <si>
    <t>Business Registers Network</t>
  </si>
  <si>
    <t>Proposed to deprecate</t>
  </si>
  <si>
    <t>AT:VAT</t>
  </si>
  <si>
    <t>Austria (AT)</t>
  </si>
  <si>
    <t>Österreichische Umsatzsteuer-Identifikationsnummer. Used for Austria (AT) participants and issued or governed by undefined.</t>
  </si>
  <si>
    <t>Example: ATU12345678</t>
  </si>
  <si>
    <t>AT:GOV</t>
  </si>
  <si>
    <t>Österreichisches Verwaltungs bzw. Organisationskennzeichen. Used for Austria (AT) participants and issued or governed by undefined.</t>
  </si>
  <si>
    <t>Example: b</t>
  </si>
  <si>
    <t>RegEx: [A-Z][A-Z0-9]*</t>
  </si>
  <si>
    <t>No entity behind id</t>
  </si>
  <si>
    <t>AT:CID</t>
  </si>
  <si>
    <t>Firmenidentifikationsnummer der Statistik Austria. Used for Austria (AT) participants and issued or governed by undefined.</t>
  </si>
  <si>
    <t>1.0.2</t>
  </si>
  <si>
    <t>IS:KT</t>
  </si>
  <si>
    <t>Icelandic National Registry. Used for Iceland (IS) participants and issued or governed by undefined.</t>
  </si>
  <si>
    <t>In favour of 0196</t>
  </si>
  <si>
    <t>IBAN</t>
  </si>
  <si>
    <t>SOCIETY FOR WORLDWIDE INTERBANK FINANCIAL, TELECOMMUNICATION S.W.I.F.T. Used for International participants and issued or governed by SOCIETY FOR WORLDWIDE INTERBANK FINANCIAL, TELECOMMUNICATION S.W.I.F.T.</t>
  </si>
  <si>
    <t>SOCIETY FOR WORLDWIDE INTERBANK FINANCIAL, TELECOMMUNICATION S.W.I.F.T</t>
  </si>
  <si>
    <t>RegEx: [A-Z]{2}[0-9]{2}[A-Z-0-9]{11,30}
Checking: https://github.com/arthurdejong/python-stdnum/blob/master/stdnum/iban.py
https://github.com/arthurdejong/python-stdnum/blob/master/stdnum/iban.dat</t>
  </si>
  <si>
    <t>AT:KUR</t>
  </si>
  <si>
    <t>Kennziffer des Unternehmensregisters. Used for Austria (AT) participants and issued or governed by undefined.</t>
  </si>
  <si>
    <t>9 characters in total; letter, number x3, letter, number x3, letter</t>
  </si>
  <si>
    <t>Propose to deprecated</t>
  </si>
  <si>
    <t>ES:VAT</t>
  </si>
  <si>
    <t>Spain (ES)</t>
  </si>
  <si>
    <t>Agencia Española de Administración Tributaria. Used for Spain (ES) participants and issued or governed by Agencia Española de Administración Tributaria.</t>
  </si>
  <si>
    <t>Agencia Española de Administración Tributaria</t>
  </si>
  <si>
    <t>IT:IPA</t>
  </si>
  <si>
    <t>Indice delle Pubbliche Amministrazioni. Used for Italy (IT) participants and issued or governed by Indice delle Pubbliche Amministrazioni.</t>
  </si>
  <si>
    <t>Indice delle Pubbliche Amministrazioni</t>
  </si>
  <si>
    <t>Propose to deprecate; not used in BIS 3</t>
  </si>
  <si>
    <t>6</t>
  </si>
  <si>
    <t>AD:VAT</t>
  </si>
  <si>
    <t>Andorra (AD)</t>
  </si>
  <si>
    <t>Andorra VAT number. Used for Andorra (AD) participants and issued or governed by undefined.</t>
  </si>
  <si>
    <t>AL:VAT</t>
  </si>
  <si>
    <t>Albania (AL)</t>
  </si>
  <si>
    <t>Albania VAT number. Used for Albania (AL) participants and issued or governed by undefined.</t>
  </si>
  <si>
    <t>BA:VAT</t>
  </si>
  <si>
    <t>Bosnia &amp; Herzegovina (BA)</t>
  </si>
  <si>
    <t>Bosnia and Herzegovina VAT number. Used for Bosnia &amp; Herzegovina (BA) participants and issued or governed by undefined.</t>
  </si>
  <si>
    <t>BE:VAT</t>
  </si>
  <si>
    <t>Belgium VAT number. Used for Belgium (BE) participants and issued or governed by undefined.</t>
  </si>
  <si>
    <t>BG:VAT</t>
  </si>
  <si>
    <t>Bulgaria (BG)</t>
  </si>
  <si>
    <t>Bulgaria VAT number. Used for Bulgaria (BG) participants and issued or governed by undefined.</t>
  </si>
  <si>
    <t>CH:VAT</t>
  </si>
  <si>
    <t>Switzerland VAT number. Used for Switzerland (CH) participants and issued or governed by undefined.</t>
  </si>
  <si>
    <t>CY:VAT</t>
  </si>
  <si>
    <t>Cyprus (CY)</t>
  </si>
  <si>
    <t>Cyprus VAT number. Used for Cyprus (CY) participants and issued or governed by undefined.</t>
  </si>
  <si>
    <t>CZ:VAT</t>
  </si>
  <si>
    <t>Czechia (CZ)</t>
  </si>
  <si>
    <t>Czech Republic VAT number. Used for Czechia (CZ) participants and issued or governed by undefined.</t>
  </si>
  <si>
    <t>DE:VAT</t>
  </si>
  <si>
    <t>Germany VAT number. Used for Germany (DE) participants and issued or governed by undefined.</t>
  </si>
  <si>
    <t>EE:VAT</t>
  </si>
  <si>
    <t>Estonia VAT number. Used for Estonia (EE) participants and issued or governed by undefined.</t>
  </si>
  <si>
    <t>GB:VAT</t>
  </si>
  <si>
    <t>United Kingdom (GB)</t>
  </si>
  <si>
    <t>United Kingdom VAT number. Used for United Kingdom (GB) participants and issued or governed by undefined.</t>
  </si>
  <si>
    <t>GR:VAT</t>
  </si>
  <si>
    <t>Greece (GR)</t>
  </si>
  <si>
    <t>Greece VAT number. Used for Greece (GR) participants and issued or governed by undefined.</t>
  </si>
  <si>
    <t>HR:VAT</t>
  </si>
  <si>
    <t>Croatia (HR)</t>
  </si>
  <si>
    <t>Croatia VAT number. Used for Croatia (HR) participants and issued or governed by undefined.</t>
  </si>
  <si>
    <t>IE:VAT</t>
  </si>
  <si>
    <t>Ireland (IE)</t>
  </si>
  <si>
    <t>Ireland VAT number. Used for Ireland (IE) participants and issued or governed by undefined.</t>
  </si>
  <si>
    <t>LI:VAT</t>
  </si>
  <si>
    <t>Liechtenstein (LI)</t>
  </si>
  <si>
    <t>Liechtenstein VAT number. Used for Liechtenstein (LI) participants and issued or governed by undefined.</t>
  </si>
  <si>
    <t>LT:VAT</t>
  </si>
  <si>
    <t>Lithuania VAT number. Used for Lithuania (LT) participants and issued or governed by undefined.</t>
  </si>
  <si>
    <t>LU:VAT</t>
  </si>
  <si>
    <t>Luxemburg VAT number. Used for Luxembourg (LU) participants and issued or governed by undefined.</t>
  </si>
  <si>
    <t>LV:VAT</t>
  </si>
  <si>
    <t>Latvia VAT number. Used for Latvia (LV) participants and issued or governed by undefined.</t>
  </si>
  <si>
    <t>MC:VAT</t>
  </si>
  <si>
    <t>Monaco (MC)</t>
  </si>
  <si>
    <t>Monaco VAT number. Used for Monaco (MC) participants and issued or governed by undefined.</t>
  </si>
  <si>
    <t>ME:VAT</t>
  </si>
  <si>
    <t>Montenegro (ME)</t>
  </si>
  <si>
    <t>Montenegro VAT number. Used for Montenegro (ME) participants and issued or governed by undefined.</t>
  </si>
  <si>
    <t>MK:VAT</t>
  </si>
  <si>
    <t>North Macedonia (MK)</t>
  </si>
  <si>
    <t>Macedonia, the former Yugoslav Republic of VAT number. Used for North Macedonia (MK) participants and issued or governed by undefined.</t>
  </si>
  <si>
    <t>MT:VAT</t>
  </si>
  <si>
    <t>Malta (MT)</t>
  </si>
  <si>
    <t>Malta VAT number. Used for Malta (MT) participants and issued or governed by undefined.</t>
  </si>
  <si>
    <t>NL:VAT</t>
  </si>
  <si>
    <t>Netherlands VAT number. Used for Netherlands (NL) participants and issued or governed by undefined.</t>
  </si>
  <si>
    <t>PL:VAT</t>
  </si>
  <si>
    <t>Poland (PL)</t>
  </si>
  <si>
    <t>Poland VAT number. Used for Poland (PL) participants and issued or governed by undefined.</t>
  </si>
  <si>
    <t>PT:VAT</t>
  </si>
  <si>
    <t>Portugal (PT)</t>
  </si>
  <si>
    <t>Portugal VAT number. Used for Portugal (PT) participants and issued or governed by undefined.</t>
  </si>
  <si>
    <t>RO:VAT</t>
  </si>
  <si>
    <t>Romania (RO)</t>
  </si>
  <si>
    <t>Romania VAT number. Used for Romania (RO) participants and issued or governed by undefined.</t>
  </si>
  <si>
    <t>RS:VAT</t>
  </si>
  <si>
    <t>Serbia (RS)</t>
  </si>
  <si>
    <t>Serbia VAT number. Used for Serbia (RS) participants and issued or governed by undefined.</t>
  </si>
  <si>
    <t>SI:VAT</t>
  </si>
  <si>
    <t>Slovenia (SI)</t>
  </si>
  <si>
    <t>Slovenia VAT number. Used for Slovenia (SI) participants and issued or governed by undefined.</t>
  </si>
  <si>
    <t>SK:VAT</t>
  </si>
  <si>
    <t>Slovakia VAT number. Used for Slovakia (SK) participants and issued or governed by undefined.</t>
  </si>
  <si>
    <t>SM:VAT</t>
  </si>
  <si>
    <t>San Marino (SM)</t>
  </si>
  <si>
    <t>San Marino VAT number. Used for San Marino (SM) participants and issued or governed by undefined.</t>
  </si>
  <si>
    <t>TR:VAT</t>
  </si>
  <si>
    <t>Türkiye (TR)</t>
  </si>
  <si>
    <t>Turkey VAT number. Used for Türkiye (TR) participants and issued or governed by undefined.</t>
  </si>
  <si>
    <t>VA:VAT</t>
  </si>
  <si>
    <t>Vatican City (VA)</t>
  </si>
  <si>
    <t>Holy See (Vatican City State) VAT number. Used for Vatican City (VA) participants and issued or governed by undefined.</t>
  </si>
  <si>
    <t>NL:OIN</t>
  </si>
  <si>
    <t>Dutch Originator's Identification Number. Used for Netherlands (NL) participants and issued or governed by undefined.</t>
  </si>
  <si>
    <t>Replaced by 0190</t>
  </si>
  <si>
    <t>2026-03-31</t>
  </si>
  <si>
    <t>SE:VAT</t>
  </si>
  <si>
    <t>Swedish VAT number. Used for Sweden (SE) participants and issued or governed by undefined.</t>
  </si>
  <si>
    <t>8.4</t>
  </si>
  <si>
    <t>2023-07-31</t>
  </si>
  <si>
    <t>BE:CBE</t>
  </si>
  <si>
    <t>Belgian Crossroad Bank of Enterprise number. Used for Belgium (BE) participants and issued or governed by Belgian Crossroad Bank of Enterprises.</t>
  </si>
  <si>
    <t>Belgian Crossroad Bank of Enterprises</t>
  </si>
  <si>
    <t>Example: 0899965307</t>
  </si>
  <si>
    <t>RegEx: 0[0-9]{9}
Check digit: mod97
See https://github.com/arthurdejong/python-stdnum/blob/master/stdnum/be/vat.py</t>
  </si>
  <si>
    <t>Format: 9.999.999.999 - Check: 99 = 97 - (9.999.999.9 modulo 97)</t>
  </si>
  <si>
    <t>7.4</t>
  </si>
  <si>
    <t>2023-12-31</t>
  </si>
  <si>
    <t>FR:VAT</t>
  </si>
  <si>
    <t>French VAT number. Used for France (FR) participants and issued or governed by undefined.</t>
  </si>
  <si>
    <t>DE:LID</t>
  </si>
  <si>
    <t>Peppol-Leitweg-ID. Used for Germany (DE) participants and issued or governed by undefined.</t>
  </si>
  <si>
    <t>Replaced by 0204</t>
  </si>
  <si>
    <t>US:EIN</t>
  </si>
  <si>
    <t>United States (US)</t>
  </si>
  <si>
    <t>US Employer ID Number. Used for United States (US) participants and issued or governed by undefined.</t>
  </si>
  <si>
    <t>Onboard a customer/product to the Peppol Access Point</t>
  </si>
  <si>
    <t>Platform-level data contract. Product-specific UI, user experience, billing and commercial packaging remain the responsibility of product teams and are outside the AP platform scope.</t>
  </si>
  <si>
    <t>Area</t>
  </si>
  <si>
    <t>Provided by</t>
  </si>
  <si>
    <t>Direction</t>
  </si>
  <si>
    <t>Validation / acceptance</t>
  </si>
  <si>
    <t>Used for</t>
  </si>
  <si>
    <t>Returned by platform</t>
  </si>
  <si>
    <t>MVP?</t>
  </si>
  <si>
    <t>Product tenancy</t>
  </si>
  <si>
    <t>Product identifier</t>
  </si>
  <si>
    <t>Product team</t>
  </si>
  <si>
    <t>Product → AP</t>
  </si>
  <si>
    <t>Known/authorised product code</t>
  </si>
  <si>
    <t>Ownership, routing, reporting</t>
  </si>
  <si>
    <t>Accepted product ID</t>
  </si>
  <si>
    <t>Stable identifier, not a display name</t>
  </si>
  <si>
    <t>Tenant/customer identifier</t>
  </si>
  <si>
    <t>Unique within product; idempotent onboarding</t>
  </si>
  <si>
    <t>Routing and isolation</t>
  </si>
  <si>
    <t>AP customer ID</t>
  </si>
  <si>
    <t>Do not use email address as the primary key</t>
  </si>
  <si>
    <t>Environment</t>
  </si>
  <si>
    <t>Test or production; credentials and registrations isolated</t>
  </si>
  <si>
    <t>Endpoint selection</t>
  </si>
  <si>
    <t>Environment confirmation</t>
  </si>
  <si>
    <t>Production onboarding should require explicit approval</t>
  </si>
  <si>
    <t>Legal entity</t>
  </si>
  <si>
    <t>Customer/product</t>
  </si>
  <si>
    <t>Matches participant evidence</t>
  </si>
  <si>
    <t>Support and compliance</t>
  </si>
  <si>
    <t>Stored value</t>
  </si>
  <si>
    <t>ISO 3166-1 alpha-2; supported</t>
  </si>
  <si>
    <t>Scheme/country rules</t>
  </si>
  <si>
    <t>Company registration number</t>
  </si>
  <si>
    <t>Required where used for verification or local policy</t>
  </si>
  <si>
    <t>Entity verification</t>
  </si>
  <si>
    <t>Verification result</t>
  </si>
  <si>
    <t>VAT/tax identifier</t>
  </si>
  <si>
    <t>Required when chosen as participant scheme or tax policy requires it</t>
  </si>
  <si>
    <t>Identifier and invoice validation</t>
  </si>
  <si>
    <t>Participant</t>
  </si>
  <si>
    <t>Participant scheme code</t>
  </si>
  <si>
    <t>Active allowed Peppol scheme</t>
  </si>
  <si>
    <t>Discovery and addressing</t>
  </si>
  <si>
    <t>Normalised scheme</t>
  </si>
  <si>
    <t>See Peppol identifier tab</t>
  </si>
  <si>
    <t>Participant identifier value</t>
  </si>
  <si>
    <t>Scheme-specific validation and authority</t>
  </si>
  <si>
    <t>Canonical participant ID</t>
  </si>
  <si>
    <t>Authority/consent evidence reference</t>
  </si>
  <si>
    <t>Valid actor, timestamp and terms version</t>
  </si>
  <si>
    <t>Audit and anti-hijack control</t>
  </si>
  <si>
    <t>Evidence receipt</t>
  </si>
  <si>
    <t>Capability</t>
  </si>
  <si>
    <t>Send enabled</t>
  </si>
  <si>
    <t>Boolean; at least send or receive enabled</t>
  </si>
  <si>
    <t>Authorisation</t>
  </si>
  <si>
    <t>Capability state</t>
  </si>
  <si>
    <t>Receive enabled</t>
  </si>
  <si>
    <t>Boolean; triggers SMP publication and inbound routing</t>
  </si>
  <si>
    <t>Document types</t>
  </si>
  <si>
    <t>Supported/current identifiers</t>
  </si>
  <si>
    <t>Validation and SMP</t>
  </si>
  <si>
    <t>Accepted list</t>
  </si>
  <si>
    <t>Invoice and Credit Note for billing MVP</t>
  </si>
  <si>
    <t>Process identifiers</t>
  </si>
  <si>
    <t>Compatible with each document type</t>
  </si>
  <si>
    <t>Connectivity</t>
  </si>
  <si>
    <t>Authentication client/application ID</t>
  </si>
  <si>
    <t>AP platform</t>
  </si>
  <si>
    <t>AP → product</t>
  </si>
  <si>
    <t>Unique; bound to tenant/product/environment</t>
  </si>
  <si>
    <t>API authentication</t>
  </si>
  <si>
    <t>Client ID</t>
  </si>
  <si>
    <t>Credential secret should be issued separately</t>
  </si>
  <si>
    <t>Authentication secret/certificate</t>
  </si>
  <si>
    <t>Strong secret or mTLS certificate; expiry/rotation</t>
  </si>
  <si>
    <t>One-time secret/cert reference</t>
  </si>
  <si>
    <t>Never log or return repeatedly</t>
  </si>
  <si>
    <t>Inbound delivery mode</t>
  </si>
  <si>
    <t>Mandatory if receiving</t>
  </si>
  <si>
    <t>Supported mode: push callback, queue or polling</t>
  </si>
  <si>
    <t>Inbound routing</t>
  </si>
  <si>
    <t>Confirmed mode</t>
  </si>
  <si>
    <t>Inbound callback/queue destination</t>
  </si>
  <si>
    <t>HTTPS/authorised destination; connectivity test</t>
  </si>
  <si>
    <t>Inbound delivery</t>
  </si>
  <si>
    <t>Test result</t>
  </si>
  <si>
    <t>Not required for polling-only design</t>
  </si>
  <si>
    <t>Callback authentication material</t>
  </si>
  <si>
    <t>Mandatory if push</t>
  </si>
  <si>
    <t>Product/AP</t>
  </si>
  <si>
    <t>Bidirectional</t>
  </si>
  <si>
    <t>Secret/cert stored securely; rotation</t>
  </si>
  <si>
    <t>Inbound callback security</t>
  </si>
  <si>
    <t>Credential reference</t>
  </si>
  <si>
    <t>Operations</t>
  </si>
  <si>
    <t>Technical contact</t>
  </si>
  <si>
    <t>Valid monitored contact</t>
  </si>
  <si>
    <t>Incident/escalation</t>
  </si>
  <si>
    <t>Business/support contact</t>
  </si>
  <si>
    <t>Product/customer</t>
  </si>
  <si>
    <t>Required by operating model</t>
  </si>
  <si>
    <t>Customer support</t>
  </si>
  <si>
    <t>Expected volume / peak rate</t>
  </si>
  <si>
    <t>Positive numeric estimate</t>
  </si>
  <si>
    <t>Capacity and throttling</t>
  </si>
  <si>
    <t>Accepted limits</t>
  </si>
  <si>
    <t>Not a commercial billing input for AP MVP</t>
  </si>
  <si>
    <t>Correlation and idempotency policy</t>
  </si>
  <si>
    <t>Agreed</t>
  </si>
  <si>
    <t>Unique request IDs; duplicate handling</t>
  </si>
  <si>
    <t>Reliable API processing</t>
  </si>
  <si>
    <t>Policy/version</t>
  </si>
  <si>
    <t>Compliance</t>
  </si>
  <si>
    <t>Terms/data-processing acceptance</t>
  </si>
  <si>
    <t>Authorised customer/product user</t>
  </si>
  <si>
    <t>Current version, actor and timestamp</t>
  </si>
  <si>
    <t>Compliance/audit</t>
  </si>
  <si>
    <t>Receipt/version</t>
  </si>
  <si>
    <t>Product owns its UI for collecting acceptance</t>
  </si>
  <si>
    <t>Data residency/retention selection</t>
  </si>
  <si>
    <t>Only supported options; legal policy</t>
  </si>
  <si>
    <t>Storage and deletion</t>
  </si>
  <si>
    <t>Applied policy</t>
  </si>
  <si>
    <t>Testing</t>
  </si>
  <si>
    <t>Connectivity test result</t>
  </si>
  <si>
    <t>Authentication, send and receive paths pass</t>
  </si>
  <si>
    <t>Go-live gate</t>
  </si>
  <si>
    <t>Pass/fail details</t>
  </si>
  <si>
    <t>Peppol conformance test result</t>
  </si>
  <si>
    <t>AP/platform</t>
  </si>
  <si>
    <t>Sample documents validate; transport receipts processed</t>
  </si>
  <si>
    <t>Activation</t>
  </si>
  <si>
    <t>Requested go-live date/time</t>
  </si>
  <si>
    <t>Valid future UTC timestamp</t>
  </si>
  <si>
    <t>Scheduling</t>
  </si>
  <si>
    <t>Accepted schedule</t>
  </si>
  <si>
    <t>Onboarding correlation ID</t>
  </si>
  <si>
    <t>Unique and traceable</t>
  </si>
  <si>
    <t>Status and support</t>
  </si>
  <si>
    <t>ID</t>
  </si>
  <si>
    <t>Final onboarding status and reason</t>
  </si>
  <si>
    <t>Controlled status/reason codes</t>
  </si>
  <si>
    <t>Product orchestration</t>
  </si>
  <si>
    <t>Status event</t>
  </si>
  <si>
    <t>See Participant lifecycle</t>
  </si>
  <si>
    <t>Participant registration lifecycle</t>
  </si>
  <si>
    <t>Recommended platform service states for onboarding and SMP registration. Peppol discovery exposes metadata/availability, but Peppol does not define this universal end-to-end customer status model.</t>
  </si>
  <si>
    <t>Status</t>
  </si>
  <si>
    <t>Human-readable name</t>
  </si>
  <si>
    <t>Official Peppol lifecycle code?</t>
  </si>
  <si>
    <t>Meaning / entry condition</t>
  </si>
  <si>
    <t>Data sent to AP/platform</t>
  </si>
  <si>
    <t>Data received / recorded</t>
  </si>
  <si>
    <t>External action</t>
  </si>
  <si>
    <t>Required identifiers</t>
  </si>
  <si>
    <t>Reason/error data</t>
  </si>
  <si>
    <t>Typical next states</t>
  </si>
  <si>
    <t>Terminal?</t>
  </si>
  <si>
    <t>Product behaviour</t>
  </si>
  <si>
    <t>REQUESTED</t>
  </si>
  <si>
    <t>Requested</t>
  </si>
  <si>
    <t>No — internal</t>
  </si>
  <si>
    <t>Idempotent onboarding request accepted</t>
  </si>
  <si>
    <t>Product ID; tenant ID; participant scheme/value; capabilities; contacts; consent reference</t>
  </si>
  <si>
    <t>Onboarding correlation ID; accepted timestamp; current status</t>
  </si>
  <si>
    <t>None yet</t>
  </si>
  <si>
    <t>Correlation ID and participant ID</t>
  </si>
  <si>
    <t>Optional initial notes</t>
  </si>
  <si>
    <t>PENDING_VERIFICATION, FAILED</t>
  </si>
  <si>
    <t>Show request accepted; do not claim Peppol-active</t>
  </si>
  <si>
    <t>PENDING_VERIFICATION</t>
  </si>
  <si>
    <t>Awaiting verification</t>
  </si>
  <si>
    <t>Identity, scheme, authority or duplicate checks are running/awaiting evidence</t>
  </si>
  <si>
    <t>Additional evidence/reference if requested</t>
  </si>
  <si>
    <t>Verification checks; outstanding items; due date</t>
  </si>
  <si>
    <t>Registry/evidence and discovery checks</t>
  </si>
  <si>
    <t>Correlation ID; participant ID</t>
  </si>
  <si>
    <t>Verification reason code and human-readable action</t>
  </si>
  <si>
    <t>REGISTRATION_PENDING, FAILED</t>
  </si>
  <si>
    <t>Prompt only for missing evidence</t>
  </si>
  <si>
    <t>REGISTRATION_PENDING</t>
  </si>
  <si>
    <t>Registering with Peppol</t>
  </si>
  <si>
    <t>Verification passed; SML/SMP publication in progress</t>
  </si>
  <si>
    <t>No new data unless configuration changes</t>
  </si>
  <si>
    <t>Publication operation IDs; retry count; timestamps</t>
  </si>
  <si>
    <t>Create/update SML and SMP records</t>
  </si>
  <si>
    <t>Participant ID; SMP/service IDs</t>
  </si>
  <si>
    <t>Transport/publisher error if any</t>
  </si>
  <si>
    <t>ACTIVE, FAILED</t>
  </si>
  <si>
    <t>Display activation in progress</t>
  </si>
  <si>
    <t>ACTIVE</t>
  </si>
  <si>
    <t>Observable as registered/discoverable</t>
  </si>
  <si>
    <t>Required receiving services are published and discoverable; send authorisation active</t>
  </si>
  <si>
    <t>Operational document submissions</t>
  </si>
  <si>
    <t>Effective time; published services; discovery verification; expiry dates</t>
  </si>
  <si>
    <t>Normal send/receive operation</t>
  </si>
  <si>
    <t>Participant ID; service metadata IDs</t>
  </si>
  <si>
    <t>None unless degraded</t>
  </si>
  <si>
    <t>SUSPENDED, MIGRATION_PENDING, DEREGISTRATION_PENDING, FAILED</t>
  </si>
  <si>
    <t>Permit configured capabilities</t>
  </si>
  <si>
    <t>SUSPENDED</t>
  </si>
  <si>
    <t>Suspended</t>
  </si>
  <si>
    <t>No universal code — metadata may remain or be disabled</t>
  </si>
  <si>
    <t>Platform has temporarily blocked send/receive</t>
  </si>
  <si>
    <t>Remediation evidence or resume request</t>
  </si>
  <si>
    <t>Suspension time, scope and reason; retained registration state</t>
  </si>
  <si>
    <t>Disable internal routing and/or metadata according to policy</t>
  </si>
  <si>
    <t>Participant ID; suspension event ID</t>
  </si>
  <si>
    <t>Mandatory reason code; optional details</t>
  </si>
  <si>
    <t>ACTIVE, DEREGISTRATION_PENDING, FAILED</t>
  </si>
  <si>
    <t>Block affected actions and present remediation</t>
  </si>
  <si>
    <t>MIGRATION_PENDING</t>
  </si>
  <si>
    <t>Migration in progress</t>
  </si>
  <si>
    <t>Supported operational scenario, not universal status value</t>
  </si>
  <si>
    <t>Participant is moving between AP/SMP providers</t>
  </si>
  <si>
    <t>Target/source provider data; authority; requested window</t>
  </si>
  <si>
    <t>Migration operation ID; source/target state; cutover time</t>
  </si>
  <si>
    <t>Coordinate SML/SMP ownership and endpoint change</t>
  </si>
  <si>
    <t>Participant ID; migration ID</t>
  </si>
  <si>
    <t>Mandatory on delay/failure</t>
  </si>
  <si>
    <t>Avoid duplicate active routes; show cutover state</t>
  </si>
  <si>
    <t>DEREGISTRATION_PENDING</t>
  </si>
  <si>
    <t>Deregistration in progress</t>
  </si>
  <si>
    <t>Authorised removal requested; outstanding work being completed</t>
  </si>
  <si>
    <t>Deregistration request; scope; authority; desired date</t>
  </si>
  <si>
    <t>Operation ID; outstanding messages; scheduled time</t>
  </si>
  <si>
    <t>Remove service metadata and SML entry as appropriate</t>
  </si>
  <si>
    <t>Participant ID; operation ID</t>
  </si>
  <si>
    <t>Reason for removal and any failure</t>
  </si>
  <si>
    <t>REMOVED, ACTIVE, FAILED</t>
  </si>
  <si>
    <t>Stop new work according to policy; allow cancellation where safe</t>
  </si>
  <si>
    <t>REMOVED</t>
  </si>
  <si>
    <t>Observable as not discoverable</t>
  </si>
  <si>
    <t>Registration/services removed and platform access revoked</t>
  </si>
  <si>
    <t>None</t>
  </si>
  <si>
    <t>Removal time; audit evidence; retention/deletion schedule</t>
  </si>
  <si>
    <t>No further routing</t>
  </si>
  <si>
    <t>Participant ID; audit event ID</t>
  </si>
  <si>
    <t>Removal reason</t>
  </si>
  <si>
    <t>REQUESTED (new onboarding)</t>
  </si>
  <si>
    <t>Show offboarded; new registration requires a new request</t>
  </si>
  <si>
    <t>FAILED</t>
  </si>
  <si>
    <t>Failed</t>
  </si>
  <si>
    <t>A lifecycle operation failed and cannot automatically progress</t>
  </si>
  <si>
    <t>Corrected request or explicit retry</t>
  </si>
  <si>
    <t>Failure time; operation; retryability; technical correlation</t>
  </si>
  <si>
    <t>Compensate/retry/rollback as designed</t>
  </si>
  <si>
    <t>Participant ID if known; operation/correlation ID</t>
  </si>
  <si>
    <t>Mandatory machine reason code plus safe human message</t>
  </si>
  <si>
    <t>Previous state, REQUESTED, PENDING_VERIFICATION</t>
  </si>
  <si>
    <t>Conditionally</t>
  </si>
  <si>
    <t>Offer supported remediation; do not expose secrets</t>
  </si>
  <si>
    <t>Sending, receiving and document lifecycle statuses</t>
  </si>
  <si>
    <t>The layers are deliberately separated: AS4 proves transport handling, MLS reports network delivery outcome, and Invoice Response communicates business processing. An AS4 receipt alone does not mean the buyer accepted the invoice.</t>
  </si>
  <si>
    <t>Layer / direction</t>
  </si>
  <si>
    <t>Status or code</t>
  </si>
  <si>
    <t>Official Peppol value?</t>
  </si>
  <si>
    <t>Meaning</t>
  </si>
  <si>
    <t>Minimum data sent</t>
  </si>
  <si>
    <t>Minimum data received / recorded</t>
  </si>
  <si>
    <t>Correlation key</t>
  </si>
  <si>
    <t>Reason / detail data</t>
  </si>
  <si>
    <t>Success?</t>
  </si>
  <si>
    <t>Final at this layer?</t>
  </si>
  <si>
    <t>Recommended platform mapping</t>
  </si>
  <si>
    <t>Outbound internal</t>
  </si>
  <si>
    <t>RECEIVED_FROM_PRODUCT</t>
  </si>
  <si>
    <t>Request received</t>
  </si>
  <si>
    <t>AP accepted an API request for processing</t>
  </si>
  <si>
    <t>UBL payload; sender/receiver participant IDs; document/process IDs; idempotency key</t>
  </si>
  <si>
    <t>Submission/correlation ID; accepted timestamp</t>
  </si>
  <si>
    <t>Submission ID + idempotency key</t>
  </si>
  <si>
    <t>Not yet</t>
  </si>
  <si>
    <t>Accepted</t>
  </si>
  <si>
    <t>Perform synchronous envelope/basic validation before returning success</t>
  </si>
  <si>
    <t>VALIDATION_FAILED</t>
  </si>
  <si>
    <t>Validation failed</t>
  </si>
  <si>
    <t>Payload failed UBL/Peppol validation</t>
  </si>
  <si>
    <t>No network send</t>
  </si>
  <si>
    <t>Rule IDs; XPath/location; safe messages; validator version</t>
  </si>
  <si>
    <t>Submission ID</t>
  </si>
  <si>
    <t>Structured validation errors</t>
  </si>
  <si>
    <t>Yes unless corrected</t>
  </si>
  <si>
    <t>Rejected</t>
  </si>
  <si>
    <t>Return all actionable errors where practical</t>
  </si>
  <si>
    <t>READY_TO_SEND</t>
  </si>
  <si>
    <t>Ready to send</t>
  </si>
  <si>
    <t>Validated and authorised; queued for discovery/transmission</t>
  </si>
  <si>
    <t>Canonical sender/receiver; document/process IDs; payload hash</t>
  </si>
  <si>
    <t>Queue time</t>
  </si>
  <si>
    <t>Submission/message ID</t>
  </si>
  <si>
    <t>Queued</t>
  </si>
  <si>
    <t>DISCOVERY_FAILED</t>
  </si>
  <si>
    <t>Receiver discovery failed</t>
  </si>
  <si>
    <t>Receiver service metadata could not be resolved or did not support the document/process</t>
  </si>
  <si>
    <t>Participant ID; document type; process ID</t>
  </si>
  <si>
    <t>DNS/SML/SMP result; retryability; timestamp</t>
  </si>
  <si>
    <t>Discovery error code and endpoint-safe detail</t>
  </si>
  <si>
    <t>Failed or retry pending</t>
  </si>
  <si>
    <t>Distinguish not registered from temporary lookup failure</t>
  </si>
  <si>
    <t>TRANSMITTING</t>
  </si>
  <si>
    <t>Sending to receiver Access Point</t>
  </si>
  <si>
    <t>AS4 message is being sent</t>
  </si>
  <si>
    <t>AS4 message ID; conversation ID; payload info/hash</t>
  </si>
  <si>
    <t>Attempt number; endpoint; start time</t>
  </si>
  <si>
    <t>AS4 MessageId</t>
  </si>
  <si>
    <t>In transit</t>
  </si>
  <si>
    <t>AS4 outbound</t>
  </si>
  <si>
    <t>Receipt / TRANSPORT_ACKNOWLEDGED</t>
  </si>
  <si>
    <t>Transport acknowledged</t>
  </si>
  <si>
    <t>Yes — AS4 receipt signal</t>
  </si>
  <si>
    <t>Receiving AP accepted the AS4 message at transport/protocol level</t>
  </si>
  <si>
    <t>AS4 UserMessage including MessageInfo, PartyInfo, CollaborationInfo, MessageProperties and PayloadInfo</t>
  </si>
  <si>
    <t>SignalMessage Receipt; RefToMessageId; receipt evidence; timestamp</t>
  </si>
  <si>
    <t>RefToMessageId → original MessageId</t>
  </si>
  <si>
    <t>AS4 Error when unsuccessful</t>
  </si>
  <si>
    <t>Transport success</t>
  </si>
  <si>
    <t>Yes at AS4 layer</t>
  </si>
  <si>
    <t>Not proof of invoice delivery to buyer system or business acceptance</t>
  </si>
  <si>
    <t>Error</t>
  </si>
  <si>
    <t>Transport error</t>
  </si>
  <si>
    <t>Yes — AS4 error signal</t>
  </si>
  <si>
    <t>Protocol/security/processing error</t>
  </si>
  <si>
    <t>Original AS4 message</t>
  </si>
  <si>
    <t>RefToMessageId; errorCode; severity; category; description/detail</t>
  </si>
  <si>
    <t>RefToMessageId</t>
  </si>
  <si>
    <t>AS4 error structure</t>
  </si>
  <si>
    <t>Yes or retryable</t>
  </si>
  <si>
    <t>Failed / retry pending</t>
  </si>
  <si>
    <t>Retry policy must avoid duplicate business documents</t>
  </si>
  <si>
    <t>MLS outbound</t>
  </si>
  <si>
    <t>AP</t>
  </si>
  <si>
    <t>Delivery confirmed</t>
  </si>
  <si>
    <t>Yes — MLS response code</t>
  </si>
  <si>
    <t>Message delivered to C4/receiver with confirmation</t>
  </si>
  <si>
    <t>MLS request context linked to original business message</t>
  </si>
  <si>
    <t>MLS response code AP; original message identifiers; responding AP; timestamp</t>
  </si>
  <si>
    <t>Original AS4/business message IDs</t>
  </si>
  <si>
    <t>Optional note/reason</t>
  </si>
  <si>
    <t>Yes at MLS layer</t>
  </si>
  <si>
    <t>DELIVERED_CONFIRMED</t>
  </si>
  <si>
    <t>Message Level Status v1.1</t>
  </si>
  <si>
    <t>AB</t>
  </si>
  <si>
    <t>Forwarded without delivery confirmation</t>
  </si>
  <si>
    <t>Message forwarded by C3 but delivery to C4 was not confirmed</t>
  </si>
  <si>
    <t>MLS request context</t>
  </si>
  <si>
    <t>MLS response code AB; identifiers; timestamp</t>
  </si>
  <si>
    <t>Unconfirmed</t>
  </si>
  <si>
    <t>FORWARDED_UNCONFIRMED</t>
  </si>
  <si>
    <t>Do not label as confirmed delivery</t>
  </si>
  <si>
    <t>RE</t>
  </si>
  <si>
    <t>Delivery rejected or failed</t>
  </si>
  <si>
    <t>Message rejected or delivery failed</t>
  </si>
  <si>
    <t>MLS response code RE; identifiers; timestamp</t>
  </si>
  <si>
    <t>Reason code/text where provided</t>
  </si>
  <si>
    <t>REJECTED_OR_DELIVERY_FAILED</t>
  </si>
  <si>
    <t>May require support, correction or controlled retry</t>
  </si>
  <si>
    <t>Invoice Response</t>
  </si>
  <si>
    <t>Invoice acknowledged</t>
  </si>
  <si>
    <t>Yes — Invoice Response code</t>
  </si>
  <si>
    <t>Buyer has acknowledged receipt of the invoice</t>
  </si>
  <si>
    <t>CustomizationID; ProfileID; response ID; IssueDate; sender/receiver party IDs; ResponseCode; invoice DocumentReference/ID</t>
  </si>
  <si>
    <t>CustomizationID; ProfileID; response ID; IssueDate; sender/receiver party IDs; ResponseCode; invoice DocumentReference/ID; processing timestamp</t>
  </si>
  <si>
    <t>Invoice number + response ID</t>
  </si>
  <si>
    <t>Optional StatusReasonCode/Description</t>
  </si>
  <si>
    <t>Business receipt only</t>
  </si>
  <si>
    <t>ACKNOWLEDGED</t>
  </si>
  <si>
    <t>Not acceptance for payment</t>
  </si>
  <si>
    <t>IP</t>
  </si>
  <si>
    <t>Invoice in process</t>
  </si>
  <si>
    <t>Invoice is in process</t>
  </si>
  <si>
    <t>Optional status details</t>
  </si>
  <si>
    <t>Progress</t>
  </si>
  <si>
    <t>IN_PROCESS</t>
  </si>
  <si>
    <t>UQ</t>
  </si>
  <si>
    <t>Invoice under query</t>
  </si>
  <si>
    <t>Invoice is under query/dispute</t>
  </si>
  <si>
    <t>CustomizationID; ProfileID; response ID; IssueDate; sender/receiver party IDs; ResponseCode; invoice DocumentReference/ID; query reason; optional line/document references</t>
  </si>
  <si>
    <t>Reason code/text; optional response to specific line</t>
  </si>
  <si>
    <t>UNDER_QUERY</t>
  </si>
  <si>
    <t>Route actionable query data to the product/customer</t>
  </si>
  <si>
    <t>CA</t>
  </si>
  <si>
    <t>Invoice conditionally accepted</t>
  </si>
  <si>
    <t>CustomizationID; ProfileID; response ID; IssueDate; sender/receiver party IDs; ResponseCode; invoice DocumentReference/ID; conditions/reasons</t>
  </si>
  <si>
    <t>Condition/reason code and description</t>
  </si>
  <si>
    <t>CONDITIONALLY_ACCEPTED</t>
  </si>
  <si>
    <t>Conditions must be visible to the seller</t>
  </si>
  <si>
    <t>Invoice rejected</t>
  </si>
  <si>
    <t>Invoice rejected at business level</t>
  </si>
  <si>
    <t>CustomizationID; ProfileID; response ID; IssueDate; sender/receiver party IDs; ResponseCode; invoice DocumentReference/ID; rejection reason; optional line references</t>
  </si>
  <si>
    <t>Mandatory actionable reason in operating policy</t>
  </si>
  <si>
    <t>Yes for that response</t>
  </si>
  <si>
    <t>REJECTED</t>
  </si>
  <si>
    <t>Distinct from MLS RE and AS4 error</t>
  </si>
  <si>
    <t>Invoice accepted</t>
  </si>
  <si>
    <t>Invoice accepted for processing/payment</t>
  </si>
  <si>
    <t>CustomizationID; ProfileID; response ID; IssueDate; sender/receiver party IDs; ResponseCode; invoice DocumentReference/ID; acceptance timestamp</t>
  </si>
  <si>
    <t>Optional detail</t>
  </si>
  <si>
    <t>Usually</t>
  </si>
  <si>
    <t>ACCEPTED</t>
  </si>
  <si>
    <t>Does not itself prove payment</t>
  </si>
  <si>
    <t>PD</t>
  </si>
  <si>
    <t>Invoice paid</t>
  </si>
  <si>
    <t>Invoice reported as paid</t>
  </si>
  <si>
    <t>CustomizationID; ProfileID; response ID; IssueDate; sender/receiver party IDs; ResponseCode; invoice DocumentReference/ID; paid status; optional note/reference</t>
  </si>
  <si>
    <t>Optional payment reference/date details</t>
  </si>
  <si>
    <t>PAID</t>
  </si>
  <si>
    <t>Commercial/payment reconciliation remains a product concern</t>
  </si>
  <si>
    <t>Inbound internal</t>
  </si>
  <si>
    <t>TRANSPORT_RECEIVED</t>
  </si>
  <si>
    <t>Message received</t>
  </si>
  <si>
    <t>AS4 transport/security processing succeeded</t>
  </si>
  <si>
    <t>Sender AP delivers AS4 message</t>
  </si>
  <si>
    <t>AS4 MessageId; sender/receiver IDs; payload hash; receipt timestamp</t>
  </si>
  <si>
    <t>Received</t>
  </si>
  <si>
    <t>Persist audit data before downstream processing</t>
  </si>
  <si>
    <t>VALIDATING</t>
  </si>
  <si>
    <t>Validating message</t>
  </si>
  <si>
    <t>Payload is being checked against UBL/Peppol rules</t>
  </si>
  <si>
    <t>Payload and resolved process context</t>
  </si>
  <si>
    <t>Validator version and start time</t>
  </si>
  <si>
    <t>Inbound message ID</t>
  </si>
  <si>
    <t>Processing</t>
  </si>
  <si>
    <t>Inbound document failed validation/security/business controls</t>
  </si>
  <si>
    <t>No product delivery</t>
  </si>
  <si>
    <t>Rule IDs; locations; quarantine/rejection decision</t>
  </si>
  <si>
    <t>Structured safe error data</t>
  </si>
  <si>
    <t>Yes or quarantined</t>
  </si>
  <si>
    <t>Rejected / quarantined</t>
  </si>
  <si>
    <t>Follow Peppol protocol obligations for responses</t>
  </si>
  <si>
    <t>DELIVERY_PENDING</t>
  </si>
  <si>
    <t>Awaiting product delivery</t>
  </si>
  <si>
    <t>Validated document is queued for product delivery</t>
  </si>
  <si>
    <t>Normalised routing envelope and original UBL</t>
  </si>
  <si>
    <t>Queue/destination; attempt count</t>
  </si>
  <si>
    <t>DELIVERED_TO_PRODUCT</t>
  </si>
  <si>
    <t>Delivered to product</t>
  </si>
  <si>
    <t>Product endpoint/queue confirmed receipt</t>
  </si>
  <si>
    <t>UBL payload; sender/receiver IDs; document/process IDs; AP metadata; correlation IDs</t>
  </si>
  <si>
    <t>Product acknowledgement; delivery timestamp</t>
  </si>
  <si>
    <t>Inbound message ID + product delivery ID</t>
  </si>
  <si>
    <t>Optional product response</t>
  </si>
  <si>
    <t>Yes internally</t>
  </si>
  <si>
    <t>Delivered</t>
  </si>
  <si>
    <t>Product business processing may continue separately</t>
  </si>
  <si>
    <t>Processing failed</t>
  </si>
  <si>
    <t>Processing or product delivery exhausted retry policy</t>
  </si>
  <si>
    <t>Original message retained per policy</t>
  </si>
  <si>
    <t>Failure stage; attempts; timestamps; retryability</t>
  </si>
  <si>
    <t>Machine reason and safe human detail</t>
  </si>
  <si>
    <t>Yes pending intervention</t>
  </si>
  <si>
    <t>Support replay must preserve idempotency</t>
  </si>
  <si>
    <t>Official sources and version basis</t>
  </si>
  <si>
    <t>Use the linked official Peppol material as the implementation authority. Retrieval date: 7 October 2026.</t>
  </si>
  <si>
    <t>Topic</t>
  </si>
  <si>
    <t>Version / release</t>
  </si>
  <si>
    <t>Official URL</t>
  </si>
  <si>
    <t>Implementation note</t>
  </si>
  <si>
    <t>Retrieved</t>
  </si>
  <si>
    <t>Peppol BIS Billing 3</t>
  </si>
  <si>
    <t>May 2026 release</t>
  </si>
  <si>
    <t>https://docs.peppol.eu/poacc/billing/3.0/</t>
  </si>
  <si>
    <t>Overall billing specification and validation</t>
  </si>
  <si>
    <t>UBL Invoice 2.1 and CreditNote 2.1</t>
  </si>
  <si>
    <t>2026-10-07</t>
  </si>
  <si>
    <t>Invoice syntax tree</t>
  </si>
  <si>
    <t>https://docs.peppol.eu/poacc/billing/3.0/syntax/ubl-invoice/tree/</t>
  </si>
  <si>
    <t>Invoice field catalogue</t>
  </si>
  <si>
    <t>Source of UBL Billing fields rows</t>
  </si>
  <si>
    <t>Credit Note syntax tree</t>
  </si>
  <si>
    <t>https://docs.peppol.eu/poacc/billing/3.0/syntax/ubl-creditnote/tree/</t>
  </si>
  <si>
    <t>Credit Note field catalogue</t>
  </si>
  <si>
    <t>Business rules</t>
  </si>
  <si>
    <t>https://docs.peppol.eu/poacc/billing/3.0/rules/</t>
  </si>
  <si>
    <t>EN16931, Peppol and country validation</t>
  </si>
  <si>
    <t>Run current Schematron/code-list rules; the workbook is a design aid</t>
  </si>
  <si>
    <t>PINT</t>
  </si>
  <si>
    <t>1.1.3, June 2026</t>
  </si>
  <si>
    <t>https://docs.peppol.eu/poac/pint/pint/</t>
  </si>
  <si>
    <t>International invoice model and local specialisations</t>
  </si>
  <si>
    <t>Local PINT rules can tighten requirements</t>
  </si>
  <si>
    <t>eDelivery specifications</t>
  </si>
  <si>
    <t>Current index</t>
  </si>
  <si>
    <t>https://docs.peppol.eu/edelivery/</t>
  </si>
  <si>
    <t>Current SML, SMP, AS4, SBDH, identifier and MLS versions</t>
  </si>
  <si>
    <t>Check the index before implementation</t>
  </si>
  <si>
    <t>Participant identifier schemes</t>
  </si>
  <si>
    <t>Code lists v9.7</t>
  </si>
  <si>
    <t>https://docs.peppol.eu/edelivery/codelists/v9.7/Peppol%20Code%20Lists%20-%20Participant%20identifier%20schemes%20v9.7.html</t>
  </si>
  <si>
    <t>Allowed participant schemes</t>
  </si>
  <si>
    <t>Use live/current list in production validation</t>
  </si>
  <si>
    <t>Identifier policy</t>
  </si>
  <si>
    <t>4.4.0</t>
  </si>
  <si>
    <t>https://docs.peppol.eu/edelivery/policies/Peppol-EDN-Policy-for-use-of-identifiers-4.4.0-2025-02-06.pdf</t>
  </si>
  <si>
    <t>Identifier construction and use</t>
  </si>
  <si>
    <t>Confirm scheme-specific restrictions</t>
  </si>
  <si>
    <t>SMP specification</t>
  </si>
  <si>
    <t>1.4.0</t>
  </si>
  <si>
    <t>https://docs.peppol.eu/edelivery/smp/Peppol-EDN-Service-Metadata-Publishing-1.4.0-2025-02-06.pdf</t>
  </si>
  <si>
    <t>Service metadata publication</t>
  </si>
  <si>
    <t>Drives receiving service registration</t>
  </si>
  <si>
    <t>AS4 specification</t>
  </si>
  <si>
    <t>2.0.3</t>
  </si>
  <si>
    <t>https://docs.peppol.eu/edelivery/as4/specification/</t>
  </si>
  <si>
    <t>Transport message and receipt/error data</t>
  </si>
  <si>
    <t>Transport acknowledgement is not business acceptance</t>
  </si>
  <si>
    <t>Message Level Status</t>
  </si>
  <si>
    <t>https://docs.peppol.eu/edelivery/specs/mls/v1.1.0/mls/spec/</t>
  </si>
  <si>
    <t>AP/AB/RE network outcome</t>
  </si>
  <si>
    <t>Keep MLS RE separate from Invoice Response RE</t>
  </si>
  <si>
    <t>Peppol profile 63</t>
  </si>
  <si>
    <t>https://docs.peppol.eu/poacc/upgrade-3/profiles/63-invoiceresponse/</t>
  </si>
  <si>
    <t>AB/IP/UQ/CA/RE/AP/PD business statuses</t>
  </si>
  <si>
    <t>Optional process; receiver/sender capability applies</t>
  </si>
  <si>
    <t>OASIS UBL 2.1</t>
  </si>
  <si>
    <t>UBL 2.1</t>
  </si>
  <si>
    <t>https://docs.oasis-open.org/ubl/os-UBL-2.1/UBL-2.1.html</t>
  </si>
  <si>
    <t>Base XML standard</t>
  </si>
  <si>
    <t>Peppol constrains a subset through BIS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</si>
</sst>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font>
      <sz val="11"/>
      <name val="Carlito"/>
    </font>
    <font>
      <b/>
      <sz val="18"/>
      <color rgb="FFFFFFFF"/>
      <name val="Carlito"/>
    </font>
    <font>
      <i/>
      <sz val="10"/>
      <color rgb="FF536273"/>
      <name val="Carlito"/>
    </font>
    <font>
      <b/>
      <sz val="12"/>
      <color rgb="FFFFFFFF"/>
      <name val="Carlito"/>
    </font>
    <font>
      <sz val="10"/>
      <color rgb="FF1D2733"/>
      <name val="Carlito"/>
    </font>
    <font>
      <b/>
      <sz val="11"/>
      <color rgb="FFFFFFFF"/>
      <name val="Carlito"/>
    </font>
    <font>
      <b/>
      <sz val="11"/>
      <color rgb="FF187B7A"/>
      <name val="Carlito"/>
    </font>
    <font>
      <b/>
      <sz val="9"/>
      <color rgb="FF1D2733"/>
      <name val="Carlito"/>
    </font>
    <font>
      <sz val="9"/>
      <color rgb="FF1D2733"/>
      <name val="Carlito"/>
    </font>
    <font>
      <b/>
      <sz val="9"/>
      <color rgb="FF187B7A"/>
      <name val="Carlito"/>
    </font>
    <font>
      <i/>
      <sz val="9"/>
      <color rgb="FF536273"/>
      <name val="Carlito"/>
    </font>
    <font>
      <b/>
      <sz val="9"/>
      <color rgb="FFFFFFFF"/>
      <name val="Carlito"/>
    </font>
    <font>
      <sz val="8"/>
      <color rgb="FF1D2733"/>
      <name val="Carlito"/>
    </font>
  </fonts>
  <fills count="10">
    <fill>
      <patternFill patternType="none"/>
    </fill>
    <fill>
      <patternFill patternType="gray125"/>
    </fill>
    <fill>
      <patternFill patternType="solid">
        <fgColor rgb="FF16324F"/>
      </patternFill>
    </fill>
    <fill>
      <patternFill patternType="solid">
        <fgColor rgb="FFEAF3F8"/>
      </patternFill>
    </fill>
    <fill>
      <patternFill patternType="solid">
        <fgColor rgb="FF187B7A"/>
      </patternFill>
    </fill>
    <fill>
      <patternFill patternType="solid">
        <fgColor rgb="FF215A7A"/>
      </patternFill>
    </fill>
    <fill>
      <patternFill patternType="solid">
        <fgColor rgb="FFFCE8E6"/>
      </patternFill>
    </fill>
    <fill>
      <patternFill patternType="solid">
        <fgColor rgb="FFFFF3CD"/>
      </patternFill>
    </fill>
    <fill>
      <patternFill patternType="solid">
        <fgColor rgb="FFE6F4EA"/>
      </patternFill>
    </fill>
    <fill>
      <patternFill patternType="solid">
        <fgColor rgb="FFE7F5F3"/>
      </patternFill>
    </fill>
  </fills>
  <borders count="2">
    <border>
      <left/>
      <right/>
      <top/>
      <bottom/>
      <diagonal/>
    </border>
    <border>
      <left style="thin">
        <color rgb="FFD5DCE3"/>
      </left>
      <right style="thin">
        <color rgb="FFD5DCE3"/>
      </right>
      <top style="thin">
        <color rgb="FFD5DCE3"/>
      </top>
      <bottom style="thin">
        <color rgb="FFD5DCE3"/>
      </bottom>
      <diagonal/>
    </border>
  </borders>
  <cellStyleXfs count="1">
    <xf numFmtId="0" fontId="0" fillId="0" borderId="0"/>
  </cellStyleXfs>
  <cellXfs count="25">
    <xf numFmtId="0" fontId="0" fillId="0" borderId="0" xfId="0"/>
    <xf numFmtId="0" fontId="5" fillId="5" borderId="1" xfId="0" applyFont="1" applyFill="1" applyBorder="1"/>
    <xf numFmtId="0" fontId="0" fillId="0" borderId="1" xfId="0" applyBorder="1"/>
    <xf numFmtId="0" fontId="0" fillId="0" borderId="1" xfId="0" applyBorder="1" applyAlignment="1">
      <alignment horizontal="center"/>
    </xf>
    <xf numFmtId="0" fontId="0" fillId="6" borderId="1" xfId="0" applyFill="1" applyBorder="1" applyAlignment="1">
      <alignment wrapText="1"/>
    </xf>
    <xf numFmtId="0" fontId="0" fillId="7" borderId="1" xfId="0" applyFill="1" applyBorder="1" applyAlignment="1">
      <alignment wrapText="1"/>
    </xf>
    <xf numFmtId="0" fontId="0" fillId="8" borderId="1" xfId="0" applyFill="1" applyBorder="1" applyAlignment="1">
      <alignment wrapText="1"/>
    </xf>
    <xf numFmtId="0" fontId="6" fillId="9" borderId="1" xfId="0" applyFont="1" applyFill="1" applyBorder="1" applyAlignment="1">
      <alignment wrapText="1"/>
    </xf>
    <xf numFmtId="0" fontId="7" fillId="5" borderId="1" xfId="0" applyFont="1" applyFill="1" applyBorder="1" applyAlignment="1">
      <alignment vertical="top" wrapText="1"/>
    </xf>
    <xf numFmtId="0" fontId="8" fillId="0" borderId="1" xfId="0" applyFont="1" applyBorder="1" applyAlignment="1">
      <alignment vertical="top" wrapText="1"/>
    </xf>
    <xf numFmtId="0" fontId="9" fillId="9" borderId="1" xfId="0" applyFont="1" applyFill="1" applyBorder="1" applyAlignment="1">
      <alignment vertical="center" wrapText="1"/>
    </xf>
    <xf numFmtId="164" fontId="11" fillId="5" borderId="1" xfId="0" applyNumberFormat="1" applyFont="1" applyFill="1" applyBorder="1" applyAlignment="1">
      <alignment wrapText="1"/>
    </xf>
    <xf numFmtId="0" fontId="11" fillId="5" borderId="1" xfId="0" applyFont="1" applyFill="1" applyBorder="1" applyAlignment="1">
      <alignment wrapText="1"/>
    </xf>
    <xf numFmtId="49" fontId="11" fillId="5" borderId="1" xfId="0" applyNumberFormat="1" applyFont="1" applyFill="1" applyBorder="1" applyAlignment="1">
      <alignment wrapText="1"/>
    </xf>
    <xf numFmtId="164" fontId="12" fillId="0" borderId="1" xfId="0" applyNumberFormat="1" applyFont="1" applyBorder="1" applyAlignment="1">
      <alignment vertical="top" wrapText="1"/>
    </xf>
    <xf numFmtId="0" fontId="12" fillId="0" borderId="1" xfId="0" applyFont="1" applyBorder="1" applyAlignment="1">
      <alignment vertical="top" wrapText="1"/>
    </xf>
    <xf numFmtId="49" fontId="12" fillId="0" borderId="1" xfId="0" applyNumberFormat="1" applyFont="1" applyBorder="1" applyAlignment="1">
      <alignment vertical="top" wrapText="1"/>
    </xf>
    <xf numFmtId="0" fontId="0" fillId="0" borderId="1" xfId="0" applyBorder="1" applyAlignment="1">
      <alignment wrapText="1"/>
    </xf>
    <xf numFmtId="0" fontId="2" fillId="3" borderId="0" xfId="0" applyFont="1" applyFill="1" applyAlignment="1">
      <alignment wrapText="1"/>
    </xf>
    <xf numFmtId="0" fontId="4" fillId="3" borderId="0" xfId="0" applyFont="1" applyFill="1" applyAlignment="1">
      <alignment vertical="center" wrapText="1"/>
    </xf>
    <xf numFmtId="0" fontId="10" fillId="3" borderId="0" xfId="0" applyFont="1" applyFill="1" applyAlignment="1">
      <alignment vertical="center" wrapText="1"/>
    </xf>
    <xf numFmtId="0" fontId="0" fillId="0" borderId="1" xfId="0" applyBorder="1" applyAlignment="1">
      <alignment vertical="center" wrapText="1"/>
    </xf>
    <xf numFmtId="0" fontId="1" fillId="2" borderId="0" xfId="0" applyFont="1" applyFill="1" applyAlignment="1"/>
    <xf numFmtId="0" fontId="3" fillId="4" borderId="0" xfId="0" applyFont="1" applyFill="1" applyAlignment="1"/>
    <xf numFmtId="0" fontId="5" fillId="4" borderId="0" xfId="0" applyFont="1" applyFill="1" applyAlignment="1"/>
  </cellXfs>
  <cellStyles count="1">
    <cellStyle name="Normal" xfId="0" builtinId="0"/>
  </cellStyles>
  <dxfs count="13">
    <dxf>
      <font>
        <color rgb="FF246B38"/>
      </font>
      <fill>
        <patternFill patternType="solid">
          <bgColor rgb="FFE6F4EA"/>
        </patternFill>
      </fill>
    </dxf>
    <dxf>
      <font>
        <b/>
        <color rgb="FF795500"/>
      </font>
      <fill>
        <patternFill patternType="solid">
          <bgColor rgb="FFFFF3CD"/>
        </patternFill>
      </fill>
    </dxf>
    <dxf>
      <font>
        <b/>
        <color rgb="FF8A1C1C"/>
      </font>
      <fill>
        <patternFill patternType="solid">
          <bgColor rgb="FFFCE8E6"/>
        </patternFill>
      </fill>
    </dxf>
    <dxf>
      <font>
        <b/>
        <color rgb="FF8A1C1C"/>
      </font>
      <fill>
        <patternFill patternType="solid">
          <bgColor rgb="FFFCE8E6"/>
        </patternFill>
      </fill>
    </dxf>
    <dxf>
      <font>
        <b/>
        <color rgb="FF8A1C1C"/>
      </font>
      <fill>
        <patternFill patternType="solid">
          <bgColor rgb="FFFCE8E6"/>
        </patternFill>
      </fill>
    </dxf>
    <dxf>
      <font>
        <b/>
        <color rgb="FF795500"/>
      </font>
      <fill>
        <patternFill patternType="solid">
          <bgColor rgb="FFFFF3CD"/>
        </patternFill>
      </fill>
    </dxf>
    <dxf>
      <font>
        <b/>
        <color rgb="FF246B38"/>
      </font>
      <fill>
        <patternFill patternType="solid">
          <bgColor rgb="FFE6F4EA"/>
        </patternFill>
      </fill>
    </dxf>
    <dxf>
      <font>
        <color rgb="FF246B38"/>
      </font>
      <fill>
        <patternFill patternType="solid">
          <bgColor rgb="FFE6F4EA"/>
        </patternFill>
      </fill>
    </dxf>
    <dxf>
      <font>
        <b/>
        <color rgb="FF795500"/>
      </font>
      <fill>
        <patternFill patternType="solid">
          <bgColor rgb="FFFFF3CD"/>
        </patternFill>
      </fill>
    </dxf>
    <dxf>
      <font>
        <b/>
        <color rgb="FF8A1C1C"/>
      </font>
      <fill>
        <patternFill patternType="solid">
          <bgColor rgb="FFFCE8E6"/>
        </patternFill>
      </fill>
    </dxf>
    <dxf>
      <font>
        <color rgb="FF246B38"/>
      </font>
      <fill>
        <patternFill patternType="solid">
          <bgColor rgb="FFE6F4EA"/>
        </patternFill>
      </fill>
    </dxf>
    <dxf>
      <font>
        <b/>
        <color rgb="FF795500"/>
      </font>
      <fill>
        <patternFill patternType="solid">
          <bgColor rgb="FFFFF3CD"/>
        </patternFill>
      </fill>
    </dxf>
    <dxf>
      <font>
        <b/>
        <color rgb="FF8A1C1C"/>
      </font>
      <fill>
        <patternFill patternType="solid">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blBillingFields" displayName="UblBillingFields" ref="A4:O558" totalsRowShown="0">
  <autoFilter ref="A4:O558" xr:uid="{00000000-0009-0000-0100-000001000000}"/>
  <tableColumns count="15">
    <tableColumn id="1" xr3:uid="{00000000-0010-0000-0000-000001000000}" name="Document"/>
    <tableColumn id="2" xr3:uid="{00000000-0010-0000-0000-000002000000}" name="Section"/>
    <tableColumn id="3" xr3:uid="{00000000-0010-0000-0000-000003000000}" name="Business field"/>
    <tableColumn id="4" xr3:uid="{00000000-0010-0000-0000-000004000000}" name="UBL element / attribute"/>
    <tableColumn id="5" xr3:uid="{00000000-0010-0000-0000-000005000000}" name="XPath"/>
    <tableColumn id="6" xr3:uid="{00000000-0010-0000-0000-000006000000}" name="Cardinality"/>
    <tableColumn id="7" xr3:uid="{00000000-0010-0000-0000-000007000000}" name="Requirement"/>
    <tableColumn id="8" xr3:uid="{00000000-0010-0000-0000-000008000000}" name="Mandatory?"/>
    <tableColumn id="9" xr3:uid="{00000000-0010-0000-0000-000009000000}" name="Repeatable?"/>
    <tableColumn id="10" xr3:uid="{00000000-0010-0000-0000-00000A000000}" name="Peppol validation required?"/>
    <tableColumn id="11" xr3:uid="{00000000-0010-0000-0000-00000B000000}" name="Validation focus"/>
    <tableColumn id="12" xr3:uid="{00000000-0010-0000-0000-00000C000000}" name="Description / condition"/>
    <tableColumn id="13" xr3:uid="{00000000-0010-0000-0000-00000D000000}" name="Default value"/>
    <tableColumn id="14" xr3:uid="{00000000-0010-0000-0000-00000E000000}" name="Example value"/>
    <tableColumn id="15" xr3:uid="{00000000-0010-0000-0000-00000F000000}" name="Field specific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dentifierRequirements" displayName="IdentifierRequirements" ref="A12:J30" totalsRowShown="0">
  <autoFilter ref="A12:J30" xr:uid="{00000000-0009-0000-0100-000002000000}"/>
  <tableColumns count="10">
    <tableColumn id="1" xr3:uid="{00000000-0010-0000-0100-000001000000}" name="Stage"/>
    <tableColumn id="2" xr3:uid="{00000000-0010-0000-0100-000002000000}" name="Data field"/>
    <tableColumn id="3" xr3:uid="{00000000-0010-0000-0100-000003000000}" name="Requirement"/>
    <tableColumn id="4" xr3:uid="{00000000-0010-0000-0100-000004000000}" name="Direction / owner"/>
    <tableColumn id="5" xr3:uid="{00000000-0010-0000-0100-000005000000}" name="Example"/>
    <tableColumn id="6" xr3:uid="{00000000-0010-0000-0100-000006000000}" name="Validation before activation"/>
    <tableColumn id="7" xr3:uid="{00000000-0010-0000-0100-000007000000}" name="Peppol artefact"/>
    <tableColumn id="8" xr3:uid="{00000000-0010-0000-0100-000008000000}" name="Platform stores"/>
    <tableColumn id="9" xr3:uid="{00000000-0010-0000-0100-000009000000}" name="Sensitive?"/>
    <tableColumn id="10" xr3:uid="{00000000-0010-0000-0100-00000A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articipantSchemeCodes" displayName="ParticipantSchemeCodes" ref="A37:N142" totalsRowShown="0">
  <autoFilter ref="A37:N142" xr:uid="{00000000-0009-0000-0100-000003000000}"/>
  <tableColumns count="14">
    <tableColumn id="1" xr3:uid="{00000000-0010-0000-0200-000001000000}" name="Scheme code"/>
    <tableColumn id="2" xr3:uid="{00000000-0010-0000-0200-000002000000}" name="Scheme ID / alias"/>
    <tableColumn id="3" xr3:uid="{00000000-0010-0000-0200-000003000000}" name="Country / region"/>
    <tableColumn id="4" xr3:uid="{00000000-0010-0000-0200-000004000000}" name="What it identifies or relates to"/>
    <tableColumn id="5" xr3:uid="{00000000-0010-0000-0200-000005000000}" name="Issuing organisation"/>
    <tableColumn id="6" xr3:uid="{00000000-0010-0000-0200-000006000000}" name="State"/>
    <tableColumn id="7" xr3:uid="{00000000-0010-0000-0200-000007000000}" name="Registrable?"/>
    <tableColumn id="8" xr3:uid="{00000000-0010-0000-0200-000008000000}" name="Usable for new registration?"/>
    <tableColumn id="9" xr3:uid="{00000000-0010-0000-0200-000009000000}" name="Peppol example(s)"/>
    <tableColumn id="10" xr3:uid="{00000000-0010-0000-0200-00000A000000}" name="Validation rules"/>
    <tableColumn id="11" xr3:uid="{00000000-0010-0000-0200-00000B000000}" name="Identifier structure"/>
    <tableColumn id="12" xr3:uid="{00000000-0010-0000-0200-00000C000000}" name="Usage notes"/>
    <tableColumn id="13" xr3:uid="{00000000-0010-0000-0200-00000D000000}" name="Deprecation release"/>
    <tableColumn id="14" xr3:uid="{00000000-0010-0000-0200-00000E000000}" name="Removal d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OnboardingRequirements" displayName="OnboardingRequirements" ref="A4:K34" totalsRowShown="0">
  <autoFilter ref="A4:K34" xr:uid="{00000000-0009-0000-0100-000004000000}"/>
  <tableColumns count="11">
    <tableColumn id="1" xr3:uid="{00000000-0010-0000-0300-000001000000}" name="Area"/>
    <tableColumn id="2" xr3:uid="{00000000-0010-0000-0300-000002000000}" name="Data field"/>
    <tableColumn id="3" xr3:uid="{00000000-0010-0000-0300-000003000000}" name="Requirement"/>
    <tableColumn id="4" xr3:uid="{00000000-0010-0000-0300-000004000000}" name="Provided by"/>
    <tableColumn id="5" xr3:uid="{00000000-0010-0000-0300-000005000000}" name="Direction"/>
    <tableColumn id="6" xr3:uid="{00000000-0010-0000-0300-000006000000}" name="Validation / acceptance"/>
    <tableColumn id="7" xr3:uid="{00000000-0010-0000-0300-000007000000}" name="Used for"/>
    <tableColumn id="8" xr3:uid="{00000000-0010-0000-0300-000008000000}" name="Returned by platform"/>
    <tableColumn id="9" xr3:uid="{00000000-0010-0000-0300-000009000000}" name="Sensitive?"/>
    <tableColumn id="10" xr3:uid="{00000000-0010-0000-0300-00000A000000}" name="MVP?"/>
    <tableColumn id="11" xr3:uid="{00000000-0010-0000-0300-00000B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articipantLifecycle" displayName="ParticipantLifecycle" ref="A4:L13" totalsRowShown="0">
  <autoFilter ref="A4:L13" xr:uid="{00000000-0009-0000-0100-000005000000}"/>
  <tableColumns count="12">
    <tableColumn id="1" xr3:uid="{00000000-0010-0000-0400-000001000000}" name="Status"/>
    <tableColumn id="2" xr3:uid="{00000000-0010-0000-0400-000002000000}" name="Human-readable name"/>
    <tableColumn id="3" xr3:uid="{00000000-0010-0000-0400-000003000000}" name="Official Peppol lifecycle code?"/>
    <tableColumn id="4" xr3:uid="{00000000-0010-0000-0400-000004000000}" name="Meaning / entry condition"/>
    <tableColumn id="5" xr3:uid="{00000000-0010-0000-0400-000005000000}" name="Data sent to AP/platform"/>
    <tableColumn id="6" xr3:uid="{00000000-0010-0000-0400-000006000000}" name="Data received / recorded"/>
    <tableColumn id="7" xr3:uid="{00000000-0010-0000-0400-000007000000}" name="External action"/>
    <tableColumn id="8" xr3:uid="{00000000-0010-0000-0400-000008000000}" name="Required identifiers"/>
    <tableColumn id="9" xr3:uid="{00000000-0010-0000-0400-000009000000}" name="Reason/error data"/>
    <tableColumn id="10" xr3:uid="{00000000-0010-0000-0400-00000A000000}" name="Typical next states"/>
    <tableColumn id="11" xr3:uid="{00000000-0010-0000-0400-00000B000000}" name="Terminal?"/>
    <tableColumn id="12" xr3:uid="{00000000-0010-0000-0400-00000C000000}" name="Product behaviou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ssageLifecycle" displayName="MessageLifecycle" ref="A4:M27" totalsRowShown="0">
  <autoFilter ref="A4:M27" xr:uid="{00000000-0009-0000-0100-000006000000}"/>
  <tableColumns count="13">
    <tableColumn id="1" xr3:uid="{00000000-0010-0000-0500-000001000000}" name="Layer / direction"/>
    <tableColumn id="2" xr3:uid="{00000000-0010-0000-0500-000002000000}" name="Status or code"/>
    <tableColumn id="3" xr3:uid="{00000000-0010-0000-0500-000003000000}" name="Human-readable name"/>
    <tableColumn id="4" xr3:uid="{00000000-0010-0000-0500-000004000000}" name="Official Peppol value?"/>
    <tableColumn id="5" xr3:uid="{00000000-0010-0000-0500-000005000000}" name="Meaning"/>
    <tableColumn id="6" xr3:uid="{00000000-0010-0000-0500-000006000000}" name="Minimum data sent"/>
    <tableColumn id="7" xr3:uid="{00000000-0010-0000-0500-000007000000}" name="Minimum data received / recorded"/>
    <tableColumn id="8" xr3:uid="{00000000-0010-0000-0500-000008000000}" name="Correlation key"/>
    <tableColumn id="9" xr3:uid="{00000000-0010-0000-0500-000009000000}" name="Reason / detail data"/>
    <tableColumn id="10" xr3:uid="{00000000-0010-0000-0500-00000A000000}" name="Success?"/>
    <tableColumn id="11" xr3:uid="{00000000-0010-0000-0500-00000B000000}" name="Final at this layer?"/>
    <tableColumn id="12" xr3:uid="{00000000-0010-0000-0500-00000C000000}" name="Recommended platform mapping"/>
    <tableColumn id="13" xr3:uid="{00000000-0010-0000-0500-00000D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ourceRegister" displayName="SourceRegister" ref="A4:F17" totalsRowShown="0">
  <autoFilter ref="A4:F17" xr:uid="{00000000-0009-0000-0100-000007000000}"/>
  <tableColumns count="6">
    <tableColumn id="1" xr3:uid="{00000000-0010-0000-0600-000001000000}" name="Topic"/>
    <tableColumn id="2" xr3:uid="{00000000-0010-0000-0600-000002000000}" name="Version / release"/>
    <tableColumn id="3" xr3:uid="{00000000-0010-0000-0600-000003000000}" name="Official URL"/>
    <tableColumn id="4" xr3:uid="{00000000-0010-0000-0600-000004000000}" name="Used for"/>
    <tableColumn id="5" xr3:uid="{00000000-0010-0000-0600-000005000000}" name="Implementation note"/>
    <tableColumn id="6" xr3:uid="{00000000-0010-0000-0600-000006000000}" name="Retriev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showGridLines="0" tabSelected="1" workbookViewId="0">
      <pane ySplit="2" topLeftCell="A3" activePane="bottomLeft" state="frozen"/>
      <selection pane="bottomLeft"/>
    </sheetView>
  </sheetViews>
  <sheetFormatPr defaultRowHeight="15"/>
  <cols>
    <col min="1" max="1" width="31" customWidth="1"/>
    <col min="2" max="3" width="14" customWidth="1"/>
    <col min="4" max="4" width="12" customWidth="1"/>
    <col min="5" max="5" width="3" customWidth="1"/>
    <col min="6" max="6" width="28" customWidth="1"/>
    <col min="7" max="7" width="32" customWidth="1"/>
    <col min="8" max="8" width="14" customWidth="1"/>
  </cols>
  <sheetData>
    <row r="1" spans="1:8" ht="32.1" customHeight="1">
      <c r="A1" s="22" t="s">
        <v>0</v>
      </c>
      <c r="B1" s="22"/>
      <c r="C1" s="22"/>
      <c r="D1" s="22"/>
      <c r="E1" s="22"/>
      <c r="F1" s="22"/>
      <c r="G1" s="22"/>
      <c r="H1" s="22"/>
    </row>
    <row r="2" spans="1:8" ht="33.950000000000003" customHeight="1">
      <c r="A2" s="18" t="s">
        <v>1</v>
      </c>
      <c r="B2" s="18"/>
      <c r="C2" s="18"/>
      <c r="D2" s="18"/>
      <c r="E2" s="18"/>
      <c r="F2" s="18"/>
      <c r="G2" s="18"/>
      <c r="H2" s="18"/>
    </row>
    <row r="4" spans="1:8">
      <c r="A4" s="23" t="s">
        <v>2</v>
      </c>
      <c r="B4" s="23"/>
      <c r="C4" s="23"/>
      <c r="D4" s="23"/>
      <c r="E4" s="23"/>
      <c r="F4" s="23"/>
      <c r="G4" s="23"/>
      <c r="H4" s="23"/>
    </row>
    <row r="5" spans="1:8">
      <c r="A5" s="19" t="s">
        <v>3</v>
      </c>
      <c r="B5" s="19"/>
      <c r="C5" s="19"/>
      <c r="D5" s="19"/>
      <c r="E5" s="19"/>
      <c r="F5" s="19"/>
      <c r="G5" s="19"/>
      <c r="H5" s="19"/>
    </row>
    <row r="6" spans="1:8">
      <c r="A6" s="19"/>
      <c r="B6" s="19"/>
      <c r="C6" s="19"/>
      <c r="D6" s="19"/>
      <c r="E6" s="19"/>
      <c r="F6" s="19"/>
      <c r="G6" s="19"/>
      <c r="H6" s="19"/>
    </row>
    <row r="7" spans="1:8">
      <c r="A7" s="19"/>
      <c r="B7" s="19"/>
      <c r="C7" s="19"/>
      <c r="D7" s="19"/>
      <c r="E7" s="19"/>
      <c r="F7" s="19"/>
      <c r="G7" s="19"/>
      <c r="H7" s="19"/>
    </row>
    <row r="9" spans="1:8">
      <c r="A9" s="1" t="s">
        <v>4</v>
      </c>
      <c r="B9" s="1" t="s">
        <v>5</v>
      </c>
      <c r="C9" s="1" t="s">
        <v>6</v>
      </c>
      <c r="D9" s="1" t="s">
        <v>7</v>
      </c>
      <c r="F9" s="24" t="s">
        <v>8</v>
      </c>
      <c r="G9" s="24"/>
      <c r="H9" s="24"/>
    </row>
    <row r="10" spans="1:8">
      <c r="A10" s="2" t="s">
        <v>9</v>
      </c>
      <c r="B10" s="3">
        <f>COUNTIF('UBL Billing fields'!$A$5:$A$558,"Invoice")</f>
        <v>278</v>
      </c>
      <c r="C10" s="3">
        <f>COUNTIF('UBL Billing fields'!$A$5:$A$558,"Credit Note")</f>
        <v>276</v>
      </c>
      <c r="D10" s="3">
        <f>SUM(B10:C10)</f>
        <v>554</v>
      </c>
      <c r="F10" s="4" t="s">
        <v>10</v>
      </c>
      <c r="G10" s="17" t="s">
        <v>11</v>
      </c>
      <c r="H10" s="17"/>
    </row>
    <row r="11" spans="1:8">
      <c r="A11" s="2" t="s">
        <v>10</v>
      </c>
      <c r="B11" s="3">
        <f>COUNTIFS('UBL Billing fields'!$A$5:$A$558,"Invoice",'UBL Billing fields'!$G$5:$G$558,"Mandatory")</f>
        <v>49</v>
      </c>
      <c r="C11" s="3">
        <f>COUNTIFS('UBL Billing fields'!$A$5:$A$558,"Credit Note",'UBL Billing fields'!$G$5:$G$558,"Mandatory")</f>
        <v>49</v>
      </c>
      <c r="D11" s="3">
        <f>SUM(B11:C11)</f>
        <v>98</v>
      </c>
      <c r="F11" s="4" t="s">
        <v>12</v>
      </c>
      <c r="G11" s="17" t="s">
        <v>13</v>
      </c>
      <c r="H11" s="17"/>
    </row>
    <row r="12" spans="1:8">
      <c r="A12" s="2" t="s">
        <v>12</v>
      </c>
      <c r="B12" s="3">
        <f>COUNTIFS('UBL Billing fields'!$A$5:$A$558,"Invoice",'UBL Billing fields'!$G$5:$G$558,"Mandatory within optional group")</f>
        <v>92</v>
      </c>
      <c r="C12" s="3">
        <f>COUNTIFS('UBL Billing fields'!$A$5:$A$558,"Credit Note",'UBL Billing fields'!$G$5:$G$558,"Mandatory within optional group")</f>
        <v>91</v>
      </c>
      <c r="D12" s="3">
        <f>SUM(B12:C12)</f>
        <v>183</v>
      </c>
      <c r="F12" s="5" t="s">
        <v>14</v>
      </c>
      <c r="G12" s="17" t="s">
        <v>15</v>
      </c>
      <c r="H12" s="17"/>
    </row>
    <row r="13" spans="1:8">
      <c r="A13" s="2" t="s">
        <v>14</v>
      </c>
      <c r="B13" s="3">
        <f>COUNTIFS('UBL Billing fields'!$A$5:$A$558,"Invoice",'UBL Billing fields'!$G$5:$G$558,"Conditional")</f>
        <v>8</v>
      </c>
      <c r="C13" s="3">
        <f>COUNTIFS('UBL Billing fields'!$A$5:$A$558,"Credit Note",'UBL Billing fields'!$G$5:$G$558,"Conditional")</f>
        <v>8</v>
      </c>
      <c r="D13" s="3">
        <f>SUM(B13:C13)</f>
        <v>16</v>
      </c>
      <c r="F13" s="6" t="s">
        <v>16</v>
      </c>
      <c r="G13" s="17" t="s">
        <v>17</v>
      </c>
      <c r="H13" s="17"/>
    </row>
    <row r="14" spans="1:8">
      <c r="A14" s="2" t="s">
        <v>16</v>
      </c>
      <c r="B14" s="3">
        <f>COUNTIFS('UBL Billing fields'!$A$5:$A$558,"Invoice",'UBL Billing fields'!$G$5:$G$558,"Optional")</f>
        <v>129</v>
      </c>
      <c r="C14" s="3">
        <f>COUNTIFS('UBL Billing fields'!$A$5:$A$558,"Credit Note",'UBL Billing fields'!$G$5:$G$558,"Optional")</f>
        <v>128</v>
      </c>
      <c r="D14" s="3">
        <f>SUM(B14:C14)</f>
        <v>257</v>
      </c>
    </row>
    <row r="16" spans="1:8">
      <c r="A16" s="24" t="s">
        <v>18</v>
      </c>
      <c r="B16" s="24"/>
      <c r="C16" s="24"/>
      <c r="D16" s="24"/>
      <c r="E16" s="24"/>
      <c r="F16" s="24"/>
      <c r="G16" s="24"/>
      <c r="H16" s="24"/>
    </row>
    <row r="17" spans="1:8">
      <c r="A17" s="7" t="s">
        <v>19</v>
      </c>
      <c r="B17" s="17" t="s">
        <v>20</v>
      </c>
      <c r="C17" s="17"/>
      <c r="D17" s="17"/>
      <c r="E17" s="17"/>
      <c r="F17" s="17"/>
      <c r="G17" s="17"/>
      <c r="H17" s="17"/>
    </row>
    <row r="18" spans="1:8">
      <c r="A18" s="7" t="s">
        <v>21</v>
      </c>
      <c r="B18" s="17" t="s">
        <v>22</v>
      </c>
      <c r="C18" s="17"/>
      <c r="D18" s="17"/>
      <c r="E18" s="17"/>
      <c r="F18" s="17"/>
      <c r="G18" s="17"/>
      <c r="H18" s="17"/>
    </row>
    <row r="19" spans="1:8">
      <c r="A19" s="7" t="s">
        <v>23</v>
      </c>
      <c r="B19" s="17" t="s">
        <v>24</v>
      </c>
      <c r="C19" s="17"/>
      <c r="D19" s="17"/>
      <c r="E19" s="17"/>
      <c r="F19" s="17"/>
      <c r="G19" s="17"/>
      <c r="H19" s="17"/>
    </row>
    <row r="20" spans="1:8">
      <c r="A20" s="7" t="s">
        <v>25</v>
      </c>
      <c r="B20" s="17" t="s">
        <v>26</v>
      </c>
      <c r="C20" s="17"/>
      <c r="D20" s="17"/>
      <c r="E20" s="17"/>
      <c r="F20" s="17"/>
      <c r="G20" s="17"/>
      <c r="H20" s="17"/>
    </row>
    <row r="21" spans="1:8">
      <c r="A21" s="7" t="s">
        <v>27</v>
      </c>
      <c r="B21" s="17" t="s">
        <v>28</v>
      </c>
      <c r="C21" s="17"/>
      <c r="D21" s="17"/>
      <c r="E21" s="17"/>
      <c r="F21" s="17"/>
      <c r="G21" s="17"/>
      <c r="H21" s="17"/>
    </row>
  </sheetData>
  <mergeCells count="15">
    <mergeCell ref="A1:H1"/>
    <mergeCell ref="A2:H2"/>
    <mergeCell ref="A4:H4"/>
    <mergeCell ref="A5:H7"/>
    <mergeCell ref="F9:H9"/>
    <mergeCell ref="G10:H10"/>
    <mergeCell ref="G11:H11"/>
    <mergeCell ref="G12:H12"/>
    <mergeCell ref="G13:H13"/>
    <mergeCell ref="A16:H16"/>
    <mergeCell ref="B17:H17"/>
    <mergeCell ref="B18:H18"/>
    <mergeCell ref="B19:H19"/>
    <mergeCell ref="B20:H20"/>
    <mergeCell ref="B21:H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58"/>
  <sheetViews>
    <sheetView showGridLines="0" workbookViewId="0">
      <pane xSplit="2" ySplit="4" topLeftCell="C5" activePane="bottomRight" state="frozen"/>
      <selection pane="bottomRight"/>
      <selection pane="bottomLeft"/>
      <selection pane="topRight"/>
    </sheetView>
  </sheetViews>
  <sheetFormatPr defaultRowHeight="15"/>
  <cols>
    <col min="1" max="1" width="12" customWidth="1"/>
    <col min="2" max="2" width="22" customWidth="1"/>
    <col min="3" max="3" width="26" customWidth="1"/>
    <col min="4" max="4" width="22" customWidth="1"/>
    <col min="5" max="5" width="54" customWidth="1"/>
    <col min="6" max="6" width="11" customWidth="1"/>
    <col min="7" max="7" width="24" customWidth="1"/>
    <col min="8" max="9" width="12" customWidth="1"/>
    <col min="10" max="10" width="30" customWidth="1"/>
    <col min="11" max="11" width="42" customWidth="1"/>
    <col min="12" max="12" width="58" customWidth="1"/>
    <col min="13" max="13" width="38" customWidth="1"/>
    <col min="14" max="14" width="22" customWidth="1"/>
    <col min="15" max="15" width="48" customWidth="1"/>
  </cols>
  <sheetData>
    <row r="1" spans="1:15" ht="32.1" customHeight="1">
      <c r="A1" s="22" t="s">
        <v>29</v>
      </c>
      <c r="B1" s="22"/>
      <c r="C1" s="22"/>
      <c r="D1" s="22"/>
      <c r="E1" s="22"/>
      <c r="F1" s="22"/>
      <c r="G1" s="22"/>
      <c r="H1" s="22"/>
      <c r="I1" s="22"/>
      <c r="J1" s="22"/>
      <c r="K1" s="22"/>
      <c r="L1" s="22"/>
      <c r="M1" s="22"/>
      <c r="N1" s="22"/>
      <c r="O1" s="22"/>
    </row>
    <row r="2" spans="1:15" ht="33.950000000000003" customHeight="1">
      <c r="A2" s="18" t="s">
        <v>30</v>
      </c>
      <c r="B2" s="18"/>
      <c r="C2" s="18"/>
      <c r="D2" s="18"/>
      <c r="E2" s="18"/>
      <c r="F2" s="18"/>
      <c r="G2" s="18"/>
      <c r="H2" s="18"/>
      <c r="I2" s="18"/>
      <c r="J2" s="18"/>
      <c r="K2" s="18"/>
      <c r="L2" s="18"/>
      <c r="M2" s="18"/>
      <c r="N2" s="18"/>
      <c r="O2" s="18"/>
    </row>
    <row r="4" spans="1:15" ht="38.1" customHeight="1">
      <c r="A4" s="8" t="s">
        <v>31</v>
      </c>
      <c r="B4" s="8" t="s">
        <v>32</v>
      </c>
      <c r="C4" s="8" t="s">
        <v>33</v>
      </c>
      <c r="D4" s="8" t="s">
        <v>34</v>
      </c>
      <c r="E4" s="8" t="s">
        <v>35</v>
      </c>
      <c r="F4" s="8" t="s">
        <v>36</v>
      </c>
      <c r="G4" s="8" t="s">
        <v>37</v>
      </c>
      <c r="H4" s="8" t="s">
        <v>38</v>
      </c>
      <c r="I4" s="8" t="s">
        <v>39</v>
      </c>
      <c r="J4" s="8" t="s">
        <v>40</v>
      </c>
      <c r="K4" s="8" t="s">
        <v>41</v>
      </c>
      <c r="L4" s="8" t="s">
        <v>42</v>
      </c>
      <c r="M4" s="8" t="s">
        <v>43</v>
      </c>
      <c r="N4" s="8" t="s">
        <v>44</v>
      </c>
      <c r="O4" s="8" t="s">
        <v>45</v>
      </c>
    </row>
    <row r="5" spans="1:15">
      <c r="A5" s="9" t="s">
        <v>5</v>
      </c>
      <c r="B5" s="9" t="s">
        <v>31</v>
      </c>
      <c r="C5" s="9" t="s">
        <v>46</v>
      </c>
      <c r="D5" s="9" t="s">
        <v>46</v>
      </c>
      <c r="E5" s="9" t="s">
        <v>46</v>
      </c>
      <c r="F5" s="9" t="s">
        <v>47</v>
      </c>
      <c r="G5" s="9" t="s">
        <v>10</v>
      </c>
      <c r="H5" s="9" t="s">
        <v>48</v>
      </c>
      <c r="I5" s="9" t="s">
        <v>49</v>
      </c>
      <c r="J5" s="9" t="s">
        <v>48</v>
      </c>
      <c r="K5" s="9" t="s">
        <v>50</v>
      </c>
      <c r="L5" s="9"/>
      <c r="M5" s="9"/>
      <c r="N5" s="9"/>
      <c r="O5" s="9" t="s">
        <v>51</v>
      </c>
    </row>
    <row r="6" spans="1:15">
      <c r="A6" s="9" t="s">
        <v>5</v>
      </c>
      <c r="B6" s="9" t="s">
        <v>52</v>
      </c>
      <c r="C6" s="9" t="s">
        <v>53</v>
      </c>
      <c r="D6" s="9" t="s">
        <v>54</v>
      </c>
      <c r="E6" s="9" t="s">
        <v>55</v>
      </c>
      <c r="F6" s="9" t="s">
        <v>47</v>
      </c>
      <c r="G6" s="9" t="s">
        <v>10</v>
      </c>
      <c r="H6" s="9" t="s">
        <v>48</v>
      </c>
      <c r="I6" s="9" t="s">
        <v>49</v>
      </c>
      <c r="J6" s="9" t="s">
        <v>48</v>
      </c>
      <c r="K6" s="9" t="s">
        <v>56</v>
      </c>
      <c r="L6" s="9" t="s">
        <v>57</v>
      </c>
      <c r="M6" s="9" t="s">
        <v>58</v>
      </c>
      <c r="N6" s="9"/>
      <c r="O6" s="9" t="s">
        <v>59</v>
      </c>
    </row>
    <row r="7" spans="1:15">
      <c r="A7" s="9" t="s">
        <v>5</v>
      </c>
      <c r="B7" s="9" t="s">
        <v>52</v>
      </c>
      <c r="C7" s="9" t="s">
        <v>60</v>
      </c>
      <c r="D7" s="9" t="s">
        <v>61</v>
      </c>
      <c r="E7" s="9" t="s">
        <v>62</v>
      </c>
      <c r="F7" s="9" t="s">
        <v>47</v>
      </c>
      <c r="G7" s="9" t="s">
        <v>10</v>
      </c>
      <c r="H7" s="9" t="s">
        <v>48</v>
      </c>
      <c r="I7" s="9" t="s">
        <v>49</v>
      </c>
      <c r="J7" s="9" t="s">
        <v>48</v>
      </c>
      <c r="K7" s="9" t="s">
        <v>63</v>
      </c>
      <c r="L7" s="9" t="s">
        <v>64</v>
      </c>
      <c r="M7" s="9" t="s">
        <v>65</v>
      </c>
      <c r="N7" s="9"/>
      <c r="O7" s="9" t="s">
        <v>66</v>
      </c>
    </row>
    <row r="8" spans="1:15">
      <c r="A8" s="9" t="s">
        <v>5</v>
      </c>
      <c r="B8" s="9" t="s">
        <v>52</v>
      </c>
      <c r="C8" s="9" t="s">
        <v>67</v>
      </c>
      <c r="D8" s="9" t="s">
        <v>68</v>
      </c>
      <c r="E8" s="9" t="s">
        <v>69</v>
      </c>
      <c r="F8" s="9" t="s">
        <v>47</v>
      </c>
      <c r="G8" s="9" t="s">
        <v>10</v>
      </c>
      <c r="H8" s="9" t="s">
        <v>48</v>
      </c>
      <c r="I8" s="9" t="s">
        <v>49</v>
      </c>
      <c r="J8" s="9" t="s">
        <v>48</v>
      </c>
      <c r="K8" s="9" t="s">
        <v>50</v>
      </c>
      <c r="L8" s="9" t="s">
        <v>70</v>
      </c>
      <c r="M8" s="9"/>
      <c r="N8" s="9" t="s">
        <v>71</v>
      </c>
      <c r="O8" s="9" t="s">
        <v>72</v>
      </c>
    </row>
    <row r="9" spans="1:15">
      <c r="A9" s="9" t="s">
        <v>5</v>
      </c>
      <c r="B9" s="9" t="s">
        <v>52</v>
      </c>
      <c r="C9" s="9" t="s">
        <v>73</v>
      </c>
      <c r="D9" s="9" t="s">
        <v>74</v>
      </c>
      <c r="E9" s="9" t="s">
        <v>75</v>
      </c>
      <c r="F9" s="9" t="s">
        <v>47</v>
      </c>
      <c r="G9" s="9" t="s">
        <v>10</v>
      </c>
      <c r="H9" s="9" t="s">
        <v>48</v>
      </c>
      <c r="I9" s="9" t="s">
        <v>49</v>
      </c>
      <c r="J9" s="9" t="s">
        <v>48</v>
      </c>
      <c r="K9" s="9" t="s">
        <v>76</v>
      </c>
      <c r="L9" s="9" t="s">
        <v>77</v>
      </c>
      <c r="M9" s="9"/>
      <c r="N9" s="9" t="s">
        <v>78</v>
      </c>
      <c r="O9" s="9" t="s">
        <v>79</v>
      </c>
    </row>
    <row r="10" spans="1:15">
      <c r="A10" s="9" t="s">
        <v>5</v>
      </c>
      <c r="B10" s="9" t="s">
        <v>52</v>
      </c>
      <c r="C10" s="9" t="s">
        <v>80</v>
      </c>
      <c r="D10" s="9" t="s">
        <v>81</v>
      </c>
      <c r="E10" s="9" t="s">
        <v>82</v>
      </c>
      <c r="F10" s="9" t="s">
        <v>83</v>
      </c>
      <c r="G10" s="9" t="s">
        <v>14</v>
      </c>
      <c r="H10" s="9" t="s">
        <v>49</v>
      </c>
      <c r="I10" s="9" t="s">
        <v>49</v>
      </c>
      <c r="J10" s="9" t="s">
        <v>48</v>
      </c>
      <c r="K10" s="9" t="s">
        <v>84</v>
      </c>
      <c r="L10" s="9" t="s">
        <v>85</v>
      </c>
      <c r="M10" s="9"/>
      <c r="N10" s="9" t="s">
        <v>78</v>
      </c>
      <c r="O10" s="9" t="s">
        <v>86</v>
      </c>
    </row>
    <row r="11" spans="1:15">
      <c r="A11" s="9" t="s">
        <v>5</v>
      </c>
      <c r="B11" s="9" t="s">
        <v>52</v>
      </c>
      <c r="C11" s="9" t="s">
        <v>87</v>
      </c>
      <c r="D11" s="9" t="s">
        <v>88</v>
      </c>
      <c r="E11" s="9" t="s">
        <v>89</v>
      </c>
      <c r="F11" s="9" t="s">
        <v>47</v>
      </c>
      <c r="G11" s="9" t="s">
        <v>10</v>
      </c>
      <c r="H11" s="9" t="s">
        <v>48</v>
      </c>
      <c r="I11" s="9" t="s">
        <v>49</v>
      </c>
      <c r="J11" s="9" t="s">
        <v>48</v>
      </c>
      <c r="K11" s="9" t="s">
        <v>90</v>
      </c>
      <c r="L11" s="9" t="s">
        <v>91</v>
      </c>
      <c r="M11" s="9"/>
      <c r="N11" s="9" t="s">
        <v>92</v>
      </c>
      <c r="O11" s="9" t="s">
        <v>93</v>
      </c>
    </row>
    <row r="12" spans="1:15">
      <c r="A12" s="9" t="s">
        <v>5</v>
      </c>
      <c r="B12" s="9" t="s">
        <v>52</v>
      </c>
      <c r="C12" s="9" t="s">
        <v>94</v>
      </c>
      <c r="D12" s="9" t="s">
        <v>95</v>
      </c>
      <c r="E12" s="9" t="s">
        <v>96</v>
      </c>
      <c r="F12" s="9" t="s">
        <v>83</v>
      </c>
      <c r="G12" s="9" t="s">
        <v>16</v>
      </c>
      <c r="H12" s="9" t="s">
        <v>49</v>
      </c>
      <c r="I12" s="9" t="s">
        <v>49</v>
      </c>
      <c r="J12" s="9" t="s">
        <v>48</v>
      </c>
      <c r="K12" s="9" t="s">
        <v>50</v>
      </c>
      <c r="L12" s="9" t="s">
        <v>97</v>
      </c>
      <c r="M12" s="9"/>
      <c r="N12" s="9" t="s">
        <v>98</v>
      </c>
      <c r="O12" s="9" t="s">
        <v>99</v>
      </c>
    </row>
    <row r="13" spans="1:15">
      <c r="A13" s="9" t="s">
        <v>5</v>
      </c>
      <c r="B13" s="9" t="s">
        <v>52</v>
      </c>
      <c r="C13" s="9" t="s">
        <v>100</v>
      </c>
      <c r="D13" s="9" t="s">
        <v>101</v>
      </c>
      <c r="E13" s="9" t="s">
        <v>102</v>
      </c>
      <c r="F13" s="9" t="s">
        <v>83</v>
      </c>
      <c r="G13" s="9" t="s">
        <v>14</v>
      </c>
      <c r="H13" s="9" t="s">
        <v>49</v>
      </c>
      <c r="I13" s="9" t="s">
        <v>49</v>
      </c>
      <c r="J13" s="9" t="s">
        <v>48</v>
      </c>
      <c r="K13" s="9" t="s">
        <v>76</v>
      </c>
      <c r="L13" s="9" t="s">
        <v>103</v>
      </c>
      <c r="M13" s="9"/>
      <c r="N13" s="9" t="s">
        <v>78</v>
      </c>
      <c r="O13" s="9" t="s">
        <v>104</v>
      </c>
    </row>
    <row r="14" spans="1:15">
      <c r="A14" s="9" t="s">
        <v>5</v>
      </c>
      <c r="B14" s="9" t="s">
        <v>52</v>
      </c>
      <c r="C14" s="9" t="s">
        <v>105</v>
      </c>
      <c r="D14" s="9" t="s">
        <v>106</v>
      </c>
      <c r="E14" s="9" t="s">
        <v>107</v>
      </c>
      <c r="F14" s="9" t="s">
        <v>47</v>
      </c>
      <c r="G14" s="9" t="s">
        <v>10</v>
      </c>
      <c r="H14" s="9" t="s">
        <v>48</v>
      </c>
      <c r="I14" s="9" t="s">
        <v>49</v>
      </c>
      <c r="J14" s="9" t="s">
        <v>48</v>
      </c>
      <c r="K14" s="9" t="s">
        <v>108</v>
      </c>
      <c r="L14" s="9" t="s">
        <v>109</v>
      </c>
      <c r="M14" s="9"/>
      <c r="N14" s="9" t="s">
        <v>110</v>
      </c>
      <c r="O14" s="9" t="s">
        <v>111</v>
      </c>
    </row>
    <row r="15" spans="1:15">
      <c r="A15" s="9" t="s">
        <v>5</v>
      </c>
      <c r="B15" s="9" t="s">
        <v>52</v>
      </c>
      <c r="C15" s="9" t="s">
        <v>112</v>
      </c>
      <c r="D15" s="9" t="s">
        <v>113</v>
      </c>
      <c r="E15" s="9" t="s">
        <v>114</v>
      </c>
      <c r="F15" s="9" t="s">
        <v>83</v>
      </c>
      <c r="G15" s="9" t="s">
        <v>16</v>
      </c>
      <c r="H15" s="9" t="s">
        <v>49</v>
      </c>
      <c r="I15" s="9" t="s">
        <v>49</v>
      </c>
      <c r="J15" s="9" t="s">
        <v>48</v>
      </c>
      <c r="K15" s="9" t="s">
        <v>115</v>
      </c>
      <c r="L15" s="9" t="s">
        <v>116</v>
      </c>
      <c r="M15" s="9"/>
      <c r="N15" s="9" t="s">
        <v>117</v>
      </c>
      <c r="O15" s="9" t="s">
        <v>118</v>
      </c>
    </row>
    <row r="16" spans="1:15">
      <c r="A16" s="9" t="s">
        <v>5</v>
      </c>
      <c r="B16" s="9" t="s">
        <v>52</v>
      </c>
      <c r="C16" s="9" t="s">
        <v>119</v>
      </c>
      <c r="D16" s="9" t="s">
        <v>120</v>
      </c>
      <c r="E16" s="9" t="s">
        <v>121</v>
      </c>
      <c r="F16" s="9" t="s">
        <v>83</v>
      </c>
      <c r="G16" s="9" t="s">
        <v>16</v>
      </c>
      <c r="H16" s="9" t="s">
        <v>49</v>
      </c>
      <c r="I16" s="9" t="s">
        <v>49</v>
      </c>
      <c r="J16" s="9" t="s">
        <v>48</v>
      </c>
      <c r="K16" s="9" t="s">
        <v>50</v>
      </c>
      <c r="L16" s="9" t="s">
        <v>122</v>
      </c>
      <c r="M16" s="9"/>
      <c r="N16" s="9" t="s">
        <v>123</v>
      </c>
      <c r="O16" s="9" t="s">
        <v>124</v>
      </c>
    </row>
    <row r="17" spans="1:15">
      <c r="A17" s="9" t="s">
        <v>5</v>
      </c>
      <c r="B17" s="9" t="s">
        <v>52</v>
      </c>
      <c r="C17" s="9" t="s">
        <v>125</v>
      </c>
      <c r="D17" s="9" t="s">
        <v>126</v>
      </c>
      <c r="E17" s="9" t="s">
        <v>127</v>
      </c>
      <c r="F17" s="9" t="s">
        <v>83</v>
      </c>
      <c r="G17" s="9" t="s">
        <v>14</v>
      </c>
      <c r="H17" s="9" t="s">
        <v>49</v>
      </c>
      <c r="I17" s="9" t="s">
        <v>49</v>
      </c>
      <c r="J17" s="9" t="s">
        <v>48</v>
      </c>
      <c r="K17" s="9" t="s">
        <v>128</v>
      </c>
      <c r="L17" s="9" t="s">
        <v>129</v>
      </c>
      <c r="M17" s="9"/>
      <c r="N17" s="9" t="s">
        <v>130</v>
      </c>
      <c r="O17" s="9" t="s">
        <v>131</v>
      </c>
    </row>
    <row r="18" spans="1:15">
      <c r="A18" s="9" t="s">
        <v>5</v>
      </c>
      <c r="B18" s="9" t="s">
        <v>132</v>
      </c>
      <c r="C18" s="9" t="s">
        <v>133</v>
      </c>
      <c r="D18" s="9" t="s">
        <v>134</v>
      </c>
      <c r="E18" s="9" t="s">
        <v>135</v>
      </c>
      <c r="F18" s="9" t="s">
        <v>83</v>
      </c>
      <c r="G18" s="9" t="s">
        <v>14</v>
      </c>
      <c r="H18" s="9" t="s">
        <v>49</v>
      </c>
      <c r="I18" s="9" t="s">
        <v>49</v>
      </c>
      <c r="J18" s="9" t="s">
        <v>48</v>
      </c>
      <c r="K18" s="9" t="s">
        <v>136</v>
      </c>
      <c r="L18" s="9" t="s">
        <v>137</v>
      </c>
      <c r="M18" s="9"/>
      <c r="N18" s="9"/>
      <c r="O18" s="9" t="s">
        <v>138</v>
      </c>
    </row>
    <row r="19" spans="1:15">
      <c r="A19" s="9" t="s">
        <v>5</v>
      </c>
      <c r="B19" s="9" t="s">
        <v>132</v>
      </c>
      <c r="C19" s="9" t="s">
        <v>139</v>
      </c>
      <c r="D19" s="9" t="s">
        <v>140</v>
      </c>
      <c r="E19" s="9" t="s">
        <v>141</v>
      </c>
      <c r="F19" s="9" t="s">
        <v>83</v>
      </c>
      <c r="G19" s="9" t="s">
        <v>16</v>
      </c>
      <c r="H19" s="9" t="s">
        <v>49</v>
      </c>
      <c r="I19" s="9" t="s">
        <v>49</v>
      </c>
      <c r="J19" s="9" t="s">
        <v>48</v>
      </c>
      <c r="K19" s="9" t="s">
        <v>76</v>
      </c>
      <c r="L19" s="9" t="s">
        <v>142</v>
      </c>
      <c r="M19" s="9"/>
      <c r="N19" s="9" t="s">
        <v>143</v>
      </c>
      <c r="O19" s="9" t="s">
        <v>144</v>
      </c>
    </row>
    <row r="20" spans="1:15">
      <c r="A20" s="9" t="s">
        <v>5</v>
      </c>
      <c r="B20" s="9" t="s">
        <v>132</v>
      </c>
      <c r="C20" s="9" t="s">
        <v>145</v>
      </c>
      <c r="D20" s="9" t="s">
        <v>146</v>
      </c>
      <c r="E20" s="9" t="s">
        <v>147</v>
      </c>
      <c r="F20" s="9" t="s">
        <v>83</v>
      </c>
      <c r="G20" s="9" t="s">
        <v>16</v>
      </c>
      <c r="H20" s="9" t="s">
        <v>49</v>
      </c>
      <c r="I20" s="9" t="s">
        <v>49</v>
      </c>
      <c r="J20" s="9" t="s">
        <v>48</v>
      </c>
      <c r="K20" s="9" t="s">
        <v>76</v>
      </c>
      <c r="L20" s="9" t="s">
        <v>148</v>
      </c>
      <c r="M20" s="9"/>
      <c r="N20" s="9" t="s">
        <v>149</v>
      </c>
      <c r="O20" s="9" t="s">
        <v>150</v>
      </c>
    </row>
    <row r="21" spans="1:15">
      <c r="A21" s="9" t="s">
        <v>5</v>
      </c>
      <c r="B21" s="9" t="s">
        <v>132</v>
      </c>
      <c r="C21" s="9" t="s">
        <v>151</v>
      </c>
      <c r="D21" s="9" t="s">
        <v>152</v>
      </c>
      <c r="E21" s="9" t="s">
        <v>153</v>
      </c>
      <c r="F21" s="9" t="s">
        <v>83</v>
      </c>
      <c r="G21" s="9" t="s">
        <v>16</v>
      </c>
      <c r="H21" s="9" t="s">
        <v>49</v>
      </c>
      <c r="I21" s="9" t="s">
        <v>49</v>
      </c>
      <c r="J21" s="9" t="s">
        <v>48</v>
      </c>
      <c r="K21" s="9" t="s">
        <v>76</v>
      </c>
      <c r="L21" s="9" t="s">
        <v>154</v>
      </c>
      <c r="M21" s="9"/>
      <c r="N21" s="9" t="s">
        <v>155</v>
      </c>
      <c r="O21" s="9" t="s">
        <v>156</v>
      </c>
    </row>
    <row r="22" spans="1:15">
      <c r="A22" s="9" t="s">
        <v>5</v>
      </c>
      <c r="B22" s="9" t="s">
        <v>157</v>
      </c>
      <c r="C22" s="9" t="s">
        <v>158</v>
      </c>
      <c r="D22" s="9" t="s">
        <v>159</v>
      </c>
      <c r="E22" s="9" t="s">
        <v>160</v>
      </c>
      <c r="F22" s="9" t="s">
        <v>83</v>
      </c>
      <c r="G22" s="9" t="s">
        <v>16</v>
      </c>
      <c r="H22" s="9" t="s">
        <v>49</v>
      </c>
      <c r="I22" s="9" t="s">
        <v>49</v>
      </c>
      <c r="J22" s="9" t="s">
        <v>48</v>
      </c>
      <c r="K22" s="9" t="s">
        <v>50</v>
      </c>
      <c r="L22" s="9" t="s">
        <v>158</v>
      </c>
      <c r="M22" s="9"/>
      <c r="N22" s="9"/>
      <c r="O22" s="9" t="s">
        <v>161</v>
      </c>
    </row>
    <row r="23" spans="1:15">
      <c r="A23" s="9" t="s">
        <v>5</v>
      </c>
      <c r="B23" s="9" t="s">
        <v>157</v>
      </c>
      <c r="C23" s="9" t="s">
        <v>162</v>
      </c>
      <c r="D23" s="9" t="s">
        <v>68</v>
      </c>
      <c r="E23" s="9" t="s">
        <v>163</v>
      </c>
      <c r="F23" s="9" t="s">
        <v>47</v>
      </c>
      <c r="G23" s="9" t="s">
        <v>12</v>
      </c>
      <c r="H23" s="9" t="s">
        <v>49</v>
      </c>
      <c r="I23" s="9" t="s">
        <v>49</v>
      </c>
      <c r="J23" s="9" t="s">
        <v>48</v>
      </c>
      <c r="K23" s="9" t="s">
        <v>128</v>
      </c>
      <c r="L23" s="9" t="s">
        <v>164</v>
      </c>
      <c r="M23" s="9"/>
      <c r="N23" s="9" t="s">
        <v>165</v>
      </c>
      <c r="O23" s="9" t="s">
        <v>166</v>
      </c>
    </row>
    <row r="24" spans="1:15">
      <c r="A24" s="9" t="s">
        <v>5</v>
      </c>
      <c r="B24" s="9" t="s">
        <v>157</v>
      </c>
      <c r="C24" s="9" t="s">
        <v>167</v>
      </c>
      <c r="D24" s="9" t="s">
        <v>168</v>
      </c>
      <c r="E24" s="9" t="s">
        <v>169</v>
      </c>
      <c r="F24" s="9" t="s">
        <v>83</v>
      </c>
      <c r="G24" s="9" t="s">
        <v>16</v>
      </c>
      <c r="H24" s="9" t="s">
        <v>49</v>
      </c>
      <c r="I24" s="9" t="s">
        <v>49</v>
      </c>
      <c r="J24" s="9" t="s">
        <v>48</v>
      </c>
      <c r="K24" s="9" t="s">
        <v>50</v>
      </c>
      <c r="L24" s="9" t="s">
        <v>170</v>
      </c>
      <c r="M24" s="9"/>
      <c r="N24" s="9" t="s">
        <v>171</v>
      </c>
      <c r="O24" s="9" t="s">
        <v>172</v>
      </c>
    </row>
    <row r="25" spans="1:15">
      <c r="A25" s="9" t="s">
        <v>5</v>
      </c>
      <c r="B25" s="9" t="s">
        <v>157</v>
      </c>
      <c r="C25" s="9" t="s">
        <v>173</v>
      </c>
      <c r="D25" s="9" t="s">
        <v>174</v>
      </c>
      <c r="E25" s="9" t="s">
        <v>175</v>
      </c>
      <c r="F25" s="9" t="s">
        <v>176</v>
      </c>
      <c r="G25" s="9" t="s">
        <v>16</v>
      </c>
      <c r="H25" s="9" t="s">
        <v>49</v>
      </c>
      <c r="I25" s="9" t="s">
        <v>48</v>
      </c>
      <c r="J25" s="9" t="s">
        <v>48</v>
      </c>
      <c r="K25" s="9" t="s">
        <v>50</v>
      </c>
      <c r="L25" s="9" t="s">
        <v>177</v>
      </c>
      <c r="M25" s="9"/>
      <c r="N25" s="9"/>
      <c r="O25" s="9" t="s">
        <v>178</v>
      </c>
    </row>
    <row r="26" spans="1:15">
      <c r="A26" s="9" t="s">
        <v>5</v>
      </c>
      <c r="B26" s="9" t="s">
        <v>157</v>
      </c>
      <c r="C26" s="9" t="s">
        <v>179</v>
      </c>
      <c r="D26" s="9" t="s">
        <v>180</v>
      </c>
      <c r="E26" s="9" t="s">
        <v>181</v>
      </c>
      <c r="F26" s="9" t="s">
        <v>47</v>
      </c>
      <c r="G26" s="9" t="s">
        <v>12</v>
      </c>
      <c r="H26" s="9" t="s">
        <v>49</v>
      </c>
      <c r="I26" s="9" t="s">
        <v>49</v>
      </c>
      <c r="J26" s="9" t="s">
        <v>48</v>
      </c>
      <c r="K26" s="9" t="s">
        <v>50</v>
      </c>
      <c r="L26" s="9" t="s">
        <v>179</v>
      </c>
      <c r="M26" s="9"/>
      <c r="N26" s="9"/>
      <c r="O26" s="9" t="s">
        <v>182</v>
      </c>
    </row>
    <row r="27" spans="1:15">
      <c r="A27" s="9" t="s">
        <v>5</v>
      </c>
      <c r="B27" s="9" t="s">
        <v>157</v>
      </c>
      <c r="C27" s="9" t="s">
        <v>183</v>
      </c>
      <c r="D27" s="9" t="s">
        <v>68</v>
      </c>
      <c r="E27" s="9" t="s">
        <v>184</v>
      </c>
      <c r="F27" s="9" t="s">
        <v>47</v>
      </c>
      <c r="G27" s="9" t="s">
        <v>12</v>
      </c>
      <c r="H27" s="9" t="s">
        <v>49</v>
      </c>
      <c r="I27" s="9" t="s">
        <v>49</v>
      </c>
      <c r="J27" s="9" t="s">
        <v>48</v>
      </c>
      <c r="K27" s="9" t="s">
        <v>50</v>
      </c>
      <c r="L27" s="9" t="s">
        <v>185</v>
      </c>
      <c r="M27" s="9"/>
      <c r="N27" s="9" t="s">
        <v>186</v>
      </c>
      <c r="O27" s="9" t="s">
        <v>187</v>
      </c>
    </row>
    <row r="28" spans="1:15">
      <c r="A28" s="9" t="s">
        <v>5</v>
      </c>
      <c r="B28" s="9" t="s">
        <v>157</v>
      </c>
      <c r="C28" s="9" t="s">
        <v>188</v>
      </c>
      <c r="D28" s="9" t="s">
        <v>74</v>
      </c>
      <c r="E28" s="9" t="s">
        <v>189</v>
      </c>
      <c r="F28" s="9" t="s">
        <v>83</v>
      </c>
      <c r="G28" s="9" t="s">
        <v>14</v>
      </c>
      <c r="H28" s="9" t="s">
        <v>49</v>
      </c>
      <c r="I28" s="9" t="s">
        <v>49</v>
      </c>
      <c r="J28" s="9" t="s">
        <v>48</v>
      </c>
      <c r="K28" s="9" t="s">
        <v>136</v>
      </c>
      <c r="L28" s="9" t="s">
        <v>190</v>
      </c>
      <c r="M28" s="9"/>
      <c r="N28" s="9" t="s">
        <v>191</v>
      </c>
      <c r="O28" s="9" t="s">
        <v>192</v>
      </c>
    </row>
    <row r="29" spans="1:15">
      <c r="A29" s="9" t="s">
        <v>5</v>
      </c>
      <c r="B29" s="9" t="s">
        <v>157</v>
      </c>
      <c r="C29" s="9" t="s">
        <v>193</v>
      </c>
      <c r="D29" s="9" t="s">
        <v>194</v>
      </c>
      <c r="E29" s="9" t="s">
        <v>195</v>
      </c>
      <c r="F29" s="9" t="s">
        <v>83</v>
      </c>
      <c r="G29" s="9" t="s">
        <v>16</v>
      </c>
      <c r="H29" s="9" t="s">
        <v>49</v>
      </c>
      <c r="I29" s="9" t="s">
        <v>49</v>
      </c>
      <c r="J29" s="9" t="s">
        <v>48</v>
      </c>
      <c r="K29" s="9" t="s">
        <v>50</v>
      </c>
      <c r="L29" s="9" t="s">
        <v>193</v>
      </c>
      <c r="M29" s="9"/>
      <c r="N29" s="9"/>
      <c r="O29" s="9" t="s">
        <v>196</v>
      </c>
    </row>
    <row r="30" spans="1:15">
      <c r="A30" s="9" t="s">
        <v>5</v>
      </c>
      <c r="B30" s="9" t="s">
        <v>157</v>
      </c>
      <c r="C30" s="9" t="s">
        <v>197</v>
      </c>
      <c r="D30" s="9" t="s">
        <v>68</v>
      </c>
      <c r="E30" s="9" t="s">
        <v>198</v>
      </c>
      <c r="F30" s="9" t="s">
        <v>47</v>
      </c>
      <c r="G30" s="9" t="s">
        <v>12</v>
      </c>
      <c r="H30" s="9" t="s">
        <v>49</v>
      </c>
      <c r="I30" s="9" t="s">
        <v>49</v>
      </c>
      <c r="J30" s="9" t="s">
        <v>48</v>
      </c>
      <c r="K30" s="9" t="s">
        <v>50</v>
      </c>
      <c r="L30" s="9" t="s">
        <v>199</v>
      </c>
      <c r="M30" s="9"/>
      <c r="N30" s="9" t="s">
        <v>200</v>
      </c>
      <c r="O30" s="9" t="s">
        <v>201</v>
      </c>
    </row>
    <row r="31" spans="1:15">
      <c r="A31" s="9" t="s">
        <v>5</v>
      </c>
      <c r="B31" s="9" t="s">
        <v>157</v>
      </c>
      <c r="C31" s="9" t="s">
        <v>202</v>
      </c>
      <c r="D31" s="9" t="s">
        <v>203</v>
      </c>
      <c r="E31" s="9" t="s">
        <v>204</v>
      </c>
      <c r="F31" s="9" t="s">
        <v>83</v>
      </c>
      <c r="G31" s="9" t="s">
        <v>16</v>
      </c>
      <c r="H31" s="9" t="s">
        <v>49</v>
      </c>
      <c r="I31" s="9" t="s">
        <v>49</v>
      </c>
      <c r="J31" s="9" t="s">
        <v>48</v>
      </c>
      <c r="K31" s="9" t="s">
        <v>50</v>
      </c>
      <c r="L31" s="9" t="s">
        <v>202</v>
      </c>
      <c r="M31" s="9"/>
      <c r="N31" s="9"/>
      <c r="O31" s="9" t="s">
        <v>205</v>
      </c>
    </row>
    <row r="32" spans="1:15">
      <c r="A32" s="9" t="s">
        <v>5</v>
      </c>
      <c r="B32" s="9" t="s">
        <v>157</v>
      </c>
      <c r="C32" s="9" t="s">
        <v>206</v>
      </c>
      <c r="D32" s="9" t="s">
        <v>68</v>
      </c>
      <c r="E32" s="9" t="s">
        <v>207</v>
      </c>
      <c r="F32" s="9" t="s">
        <v>47</v>
      </c>
      <c r="G32" s="9" t="s">
        <v>12</v>
      </c>
      <c r="H32" s="9" t="s">
        <v>49</v>
      </c>
      <c r="I32" s="9" t="s">
        <v>49</v>
      </c>
      <c r="J32" s="9" t="s">
        <v>48</v>
      </c>
      <c r="K32" s="9" t="s">
        <v>50</v>
      </c>
      <c r="L32" s="9" t="s">
        <v>208</v>
      </c>
      <c r="M32" s="9"/>
      <c r="N32" s="9" t="s">
        <v>209</v>
      </c>
      <c r="O32" s="9" t="s">
        <v>210</v>
      </c>
    </row>
    <row r="33" spans="1:15">
      <c r="A33" s="9" t="s">
        <v>5</v>
      </c>
      <c r="B33" s="9" t="s">
        <v>157</v>
      </c>
      <c r="C33" s="9" t="s">
        <v>211</v>
      </c>
      <c r="D33" s="9" t="s">
        <v>212</v>
      </c>
      <c r="E33" s="9" t="s">
        <v>213</v>
      </c>
      <c r="F33" s="9" t="s">
        <v>83</v>
      </c>
      <c r="G33" s="9" t="s">
        <v>16</v>
      </c>
      <c r="H33" s="9" t="s">
        <v>49</v>
      </c>
      <c r="I33" s="9" t="s">
        <v>49</v>
      </c>
      <c r="J33" s="9" t="s">
        <v>48</v>
      </c>
      <c r="K33" s="9" t="s">
        <v>50</v>
      </c>
      <c r="L33" s="9" t="s">
        <v>211</v>
      </c>
      <c r="M33" s="9"/>
      <c r="N33" s="9"/>
      <c r="O33" s="9" t="s">
        <v>214</v>
      </c>
    </row>
    <row r="34" spans="1:15">
      <c r="A34" s="9" t="s">
        <v>5</v>
      </c>
      <c r="B34" s="9" t="s">
        <v>157</v>
      </c>
      <c r="C34" s="9" t="s">
        <v>215</v>
      </c>
      <c r="D34" s="9" t="s">
        <v>68</v>
      </c>
      <c r="E34" s="9" t="s">
        <v>216</v>
      </c>
      <c r="F34" s="9" t="s">
        <v>47</v>
      </c>
      <c r="G34" s="9" t="s">
        <v>12</v>
      </c>
      <c r="H34" s="9" t="s">
        <v>49</v>
      </c>
      <c r="I34" s="9" t="s">
        <v>49</v>
      </c>
      <c r="J34" s="9" t="s">
        <v>48</v>
      </c>
      <c r="K34" s="9" t="s">
        <v>50</v>
      </c>
      <c r="L34" s="9" t="s">
        <v>217</v>
      </c>
      <c r="M34" s="9"/>
      <c r="N34" s="9" t="s">
        <v>218</v>
      </c>
      <c r="O34" s="9" t="s">
        <v>219</v>
      </c>
    </row>
    <row r="35" spans="1:15">
      <c r="A35" s="9" t="s">
        <v>5</v>
      </c>
      <c r="B35" s="9" t="s">
        <v>157</v>
      </c>
      <c r="C35" s="9" t="s">
        <v>220</v>
      </c>
      <c r="D35" s="9" t="s">
        <v>221</v>
      </c>
      <c r="E35" s="9" t="s">
        <v>222</v>
      </c>
      <c r="F35" s="9" t="s">
        <v>83</v>
      </c>
      <c r="G35" s="9" t="s">
        <v>16</v>
      </c>
      <c r="H35" s="9" t="s">
        <v>49</v>
      </c>
      <c r="I35" s="9" t="s">
        <v>49</v>
      </c>
      <c r="J35" s="9" t="s">
        <v>48</v>
      </c>
      <c r="K35" s="9" t="s">
        <v>50</v>
      </c>
      <c r="L35" s="9" t="s">
        <v>220</v>
      </c>
      <c r="M35" s="9"/>
      <c r="N35" s="9"/>
      <c r="O35" s="9" t="s">
        <v>223</v>
      </c>
    </row>
    <row r="36" spans="1:15">
      <c r="A36" s="9" t="s">
        <v>5</v>
      </c>
      <c r="B36" s="9" t="s">
        <v>157</v>
      </c>
      <c r="C36" s="9" t="s">
        <v>224</v>
      </c>
      <c r="D36" s="9" t="s">
        <v>68</v>
      </c>
      <c r="E36" s="9" t="s">
        <v>225</v>
      </c>
      <c r="F36" s="9" t="s">
        <v>47</v>
      </c>
      <c r="G36" s="9" t="s">
        <v>12</v>
      </c>
      <c r="H36" s="9" t="s">
        <v>49</v>
      </c>
      <c r="I36" s="9" t="s">
        <v>49</v>
      </c>
      <c r="J36" s="9" t="s">
        <v>48</v>
      </c>
      <c r="K36" s="9" t="s">
        <v>50</v>
      </c>
      <c r="L36" s="9" t="s">
        <v>226</v>
      </c>
      <c r="M36" s="9"/>
      <c r="N36" s="9" t="s">
        <v>227</v>
      </c>
      <c r="O36" s="9" t="s">
        <v>228</v>
      </c>
    </row>
    <row r="37" spans="1:15">
      <c r="A37" s="9" t="s">
        <v>5</v>
      </c>
      <c r="B37" s="9" t="s">
        <v>229</v>
      </c>
      <c r="C37" s="9" t="s">
        <v>230</v>
      </c>
      <c r="D37" s="9" t="s">
        <v>231</v>
      </c>
      <c r="E37" s="9" t="s">
        <v>232</v>
      </c>
      <c r="F37" s="9" t="s">
        <v>176</v>
      </c>
      <c r="G37" s="9" t="s">
        <v>16</v>
      </c>
      <c r="H37" s="9" t="s">
        <v>49</v>
      </c>
      <c r="I37" s="9" t="s">
        <v>48</v>
      </c>
      <c r="J37" s="9" t="s">
        <v>48</v>
      </c>
      <c r="K37" s="9" t="s">
        <v>50</v>
      </c>
      <c r="L37" s="9" t="s">
        <v>233</v>
      </c>
      <c r="M37" s="9"/>
      <c r="N37" s="9"/>
      <c r="O37" s="9" t="s">
        <v>234</v>
      </c>
    </row>
    <row r="38" spans="1:15">
      <c r="A38" s="9" t="s">
        <v>5</v>
      </c>
      <c r="B38" s="9" t="s">
        <v>229</v>
      </c>
      <c r="C38" s="9" t="s">
        <v>235</v>
      </c>
      <c r="D38" s="9" t="s">
        <v>68</v>
      </c>
      <c r="E38" s="9" t="s">
        <v>236</v>
      </c>
      <c r="F38" s="9" t="s">
        <v>47</v>
      </c>
      <c r="G38" s="9" t="s">
        <v>12</v>
      </c>
      <c r="H38" s="9" t="s">
        <v>49</v>
      </c>
      <c r="I38" s="9" t="s">
        <v>49</v>
      </c>
      <c r="J38" s="9" t="s">
        <v>48</v>
      </c>
      <c r="K38" s="9" t="s">
        <v>50</v>
      </c>
      <c r="L38" s="9" t="s">
        <v>237</v>
      </c>
      <c r="M38" s="9"/>
      <c r="N38" s="9" t="s">
        <v>238</v>
      </c>
      <c r="O38" s="9" t="s">
        <v>239</v>
      </c>
    </row>
    <row r="39" spans="1:15">
      <c r="A39" s="9" t="s">
        <v>5</v>
      </c>
      <c r="B39" s="9" t="s">
        <v>229</v>
      </c>
      <c r="C39" s="9" t="s">
        <v>240</v>
      </c>
      <c r="D39" s="9" t="s">
        <v>241</v>
      </c>
      <c r="E39" s="9" t="s">
        <v>242</v>
      </c>
      <c r="F39" s="9" t="s">
        <v>243</v>
      </c>
      <c r="G39" s="9" t="s">
        <v>16</v>
      </c>
      <c r="H39" s="9" t="s">
        <v>49</v>
      </c>
      <c r="I39" s="9" t="s">
        <v>49</v>
      </c>
      <c r="J39" s="9" t="s">
        <v>48</v>
      </c>
      <c r="K39" s="9" t="s">
        <v>244</v>
      </c>
      <c r="L39" s="9" t="s">
        <v>245</v>
      </c>
      <c r="M39" s="9"/>
      <c r="N39" s="9" t="s">
        <v>246</v>
      </c>
      <c r="O39" s="9" t="s">
        <v>247</v>
      </c>
    </row>
    <row r="40" spans="1:15">
      <c r="A40" s="9" t="s">
        <v>5</v>
      </c>
      <c r="B40" s="9" t="s">
        <v>229</v>
      </c>
      <c r="C40" s="9" t="s">
        <v>248</v>
      </c>
      <c r="D40" s="9" t="s">
        <v>249</v>
      </c>
      <c r="E40" s="9" t="s">
        <v>250</v>
      </c>
      <c r="F40" s="9" t="s">
        <v>83</v>
      </c>
      <c r="G40" s="9" t="s">
        <v>16</v>
      </c>
      <c r="H40" s="9" t="s">
        <v>49</v>
      </c>
      <c r="I40" s="9" t="s">
        <v>49</v>
      </c>
      <c r="J40" s="9" t="s">
        <v>48</v>
      </c>
      <c r="K40" s="9" t="s">
        <v>251</v>
      </c>
      <c r="L40" s="9" t="s">
        <v>252</v>
      </c>
      <c r="M40" s="9" t="s">
        <v>253</v>
      </c>
      <c r="N40" s="9"/>
      <c r="O40" s="9" t="s">
        <v>254</v>
      </c>
    </row>
    <row r="41" spans="1:15">
      <c r="A41" s="9" t="s">
        <v>5</v>
      </c>
      <c r="B41" s="9" t="s">
        <v>229</v>
      </c>
      <c r="C41" s="9" t="s">
        <v>255</v>
      </c>
      <c r="D41" s="9" t="s">
        <v>256</v>
      </c>
      <c r="E41" s="9" t="s">
        <v>257</v>
      </c>
      <c r="F41" s="9" t="s">
        <v>83</v>
      </c>
      <c r="G41" s="9" t="s">
        <v>16</v>
      </c>
      <c r="H41" s="9" t="s">
        <v>49</v>
      </c>
      <c r="I41" s="9" t="s">
        <v>49</v>
      </c>
      <c r="J41" s="9" t="s">
        <v>48</v>
      </c>
      <c r="K41" s="9" t="s">
        <v>50</v>
      </c>
      <c r="L41" s="9" t="s">
        <v>258</v>
      </c>
      <c r="M41" s="9"/>
      <c r="N41" s="9" t="s">
        <v>259</v>
      </c>
      <c r="O41" s="9" t="s">
        <v>260</v>
      </c>
    </row>
    <row r="42" spans="1:15">
      <c r="A42" s="9" t="s">
        <v>5</v>
      </c>
      <c r="B42" s="9" t="s">
        <v>229</v>
      </c>
      <c r="C42" s="9" t="s">
        <v>261</v>
      </c>
      <c r="D42" s="9" t="s">
        <v>262</v>
      </c>
      <c r="E42" s="9" t="s">
        <v>263</v>
      </c>
      <c r="F42" s="9" t="s">
        <v>83</v>
      </c>
      <c r="G42" s="9" t="s">
        <v>16</v>
      </c>
      <c r="H42" s="9" t="s">
        <v>49</v>
      </c>
      <c r="I42" s="9" t="s">
        <v>49</v>
      </c>
      <c r="J42" s="9" t="s">
        <v>48</v>
      </c>
      <c r="K42" s="9" t="s">
        <v>50</v>
      </c>
      <c r="L42" s="9" t="s">
        <v>261</v>
      </c>
      <c r="M42" s="9"/>
      <c r="N42" s="9"/>
      <c r="O42" s="9" t="s">
        <v>264</v>
      </c>
    </row>
    <row r="43" spans="1:15">
      <c r="A43" s="9" t="s">
        <v>5</v>
      </c>
      <c r="B43" s="9" t="s">
        <v>229</v>
      </c>
      <c r="C43" s="9" t="s">
        <v>265</v>
      </c>
      <c r="D43" s="9" t="s">
        <v>266</v>
      </c>
      <c r="E43" s="9" t="s">
        <v>267</v>
      </c>
      <c r="F43" s="9" t="s">
        <v>83</v>
      </c>
      <c r="G43" s="9" t="s">
        <v>16</v>
      </c>
      <c r="H43" s="9" t="s">
        <v>49</v>
      </c>
      <c r="I43" s="9" t="s">
        <v>49</v>
      </c>
      <c r="J43" s="9" t="s">
        <v>48</v>
      </c>
      <c r="K43" s="9" t="s">
        <v>50</v>
      </c>
      <c r="L43" s="9" t="s">
        <v>268</v>
      </c>
      <c r="M43" s="9"/>
      <c r="N43" s="9" t="s">
        <v>269</v>
      </c>
      <c r="O43" s="9" t="s">
        <v>270</v>
      </c>
    </row>
    <row r="44" spans="1:15">
      <c r="A44" s="9" t="s">
        <v>5</v>
      </c>
      <c r="B44" s="9" t="s">
        <v>229</v>
      </c>
      <c r="C44" s="9" t="s">
        <v>271</v>
      </c>
      <c r="D44" s="9" t="s">
        <v>272</v>
      </c>
      <c r="E44" s="9" t="s">
        <v>273</v>
      </c>
      <c r="F44" s="9" t="s">
        <v>274</v>
      </c>
      <c r="G44" s="9" t="s">
        <v>12</v>
      </c>
      <c r="H44" s="9" t="s">
        <v>49</v>
      </c>
      <c r="I44" s="9" t="s">
        <v>49</v>
      </c>
      <c r="J44" s="9" t="s">
        <v>48</v>
      </c>
      <c r="K44" s="9" t="s">
        <v>275</v>
      </c>
      <c r="L44" s="9" t="s">
        <v>276</v>
      </c>
      <c r="M44" s="9"/>
      <c r="N44" s="9" t="s">
        <v>277</v>
      </c>
      <c r="O44" s="9" t="s">
        <v>278</v>
      </c>
    </row>
    <row r="45" spans="1:15">
      <c r="A45" s="9" t="s">
        <v>5</v>
      </c>
      <c r="B45" s="9" t="s">
        <v>229</v>
      </c>
      <c r="C45" s="9" t="s">
        <v>279</v>
      </c>
      <c r="D45" s="9" t="s">
        <v>280</v>
      </c>
      <c r="E45" s="9" t="s">
        <v>281</v>
      </c>
      <c r="F45" s="9" t="s">
        <v>274</v>
      </c>
      <c r="G45" s="9" t="s">
        <v>12</v>
      </c>
      <c r="H45" s="9" t="s">
        <v>49</v>
      </c>
      <c r="I45" s="9" t="s">
        <v>49</v>
      </c>
      <c r="J45" s="9" t="s">
        <v>48</v>
      </c>
      <c r="K45" s="9" t="s">
        <v>50</v>
      </c>
      <c r="L45" s="9" t="s">
        <v>282</v>
      </c>
      <c r="M45" s="9"/>
      <c r="N45" s="9" t="s">
        <v>283</v>
      </c>
      <c r="O45" s="9" t="s">
        <v>284</v>
      </c>
    </row>
    <row r="46" spans="1:15">
      <c r="A46" s="9" t="s">
        <v>5</v>
      </c>
      <c r="B46" s="9" t="s">
        <v>229</v>
      </c>
      <c r="C46" s="9" t="s">
        <v>285</v>
      </c>
      <c r="D46" s="9" t="s">
        <v>286</v>
      </c>
      <c r="E46" s="9" t="s">
        <v>287</v>
      </c>
      <c r="F46" s="9" t="s">
        <v>83</v>
      </c>
      <c r="G46" s="9" t="s">
        <v>16</v>
      </c>
      <c r="H46" s="9" t="s">
        <v>49</v>
      </c>
      <c r="I46" s="9" t="s">
        <v>49</v>
      </c>
      <c r="J46" s="9" t="s">
        <v>48</v>
      </c>
      <c r="K46" s="9" t="s">
        <v>50</v>
      </c>
      <c r="L46" s="9" t="s">
        <v>285</v>
      </c>
      <c r="M46" s="9"/>
      <c r="N46" s="9"/>
      <c r="O46" s="9" t="s">
        <v>288</v>
      </c>
    </row>
    <row r="47" spans="1:15">
      <c r="A47" s="9" t="s">
        <v>5</v>
      </c>
      <c r="B47" s="9" t="s">
        <v>229</v>
      </c>
      <c r="C47" s="9" t="s">
        <v>289</v>
      </c>
      <c r="D47" s="9" t="s">
        <v>290</v>
      </c>
      <c r="E47" s="9" t="s">
        <v>291</v>
      </c>
      <c r="F47" s="9" t="s">
        <v>47</v>
      </c>
      <c r="G47" s="9" t="s">
        <v>12</v>
      </c>
      <c r="H47" s="9" t="s">
        <v>49</v>
      </c>
      <c r="I47" s="9" t="s">
        <v>49</v>
      </c>
      <c r="J47" s="9" t="s">
        <v>48</v>
      </c>
      <c r="K47" s="9" t="s">
        <v>50</v>
      </c>
      <c r="L47" s="9" t="s">
        <v>292</v>
      </c>
      <c r="M47" s="9"/>
      <c r="N47" s="9" t="s">
        <v>293</v>
      </c>
      <c r="O47" s="9" t="s">
        <v>294</v>
      </c>
    </row>
    <row r="48" spans="1:15">
      <c r="A48" s="9" t="s">
        <v>5</v>
      </c>
      <c r="B48" s="9" t="s">
        <v>52</v>
      </c>
      <c r="C48" s="9" t="s">
        <v>295</v>
      </c>
      <c r="D48" s="9" t="s">
        <v>296</v>
      </c>
      <c r="E48" s="9" t="s">
        <v>297</v>
      </c>
      <c r="F48" s="9" t="s">
        <v>83</v>
      </c>
      <c r="G48" s="9" t="s">
        <v>16</v>
      </c>
      <c r="H48" s="9" t="s">
        <v>49</v>
      </c>
      <c r="I48" s="9" t="s">
        <v>49</v>
      </c>
      <c r="J48" s="9" t="s">
        <v>48</v>
      </c>
      <c r="K48" s="9" t="s">
        <v>50</v>
      </c>
      <c r="L48" s="9" t="s">
        <v>295</v>
      </c>
      <c r="M48" s="9"/>
      <c r="N48" s="9"/>
      <c r="O48" s="9" t="s">
        <v>298</v>
      </c>
    </row>
    <row r="49" spans="1:15">
      <c r="A49" s="9" t="s">
        <v>5</v>
      </c>
      <c r="B49" s="9" t="s">
        <v>52</v>
      </c>
      <c r="C49" s="9" t="s">
        <v>299</v>
      </c>
      <c r="D49" s="9" t="s">
        <v>68</v>
      </c>
      <c r="E49" s="9" t="s">
        <v>300</v>
      </c>
      <c r="F49" s="9" t="s">
        <v>47</v>
      </c>
      <c r="G49" s="9" t="s">
        <v>12</v>
      </c>
      <c r="H49" s="9" t="s">
        <v>49</v>
      </c>
      <c r="I49" s="9" t="s">
        <v>49</v>
      </c>
      <c r="J49" s="9" t="s">
        <v>48</v>
      </c>
      <c r="K49" s="9" t="s">
        <v>50</v>
      </c>
      <c r="L49" s="9" t="s">
        <v>301</v>
      </c>
      <c r="M49" s="9"/>
      <c r="N49" s="9" t="s">
        <v>302</v>
      </c>
      <c r="O49" s="9" t="s">
        <v>303</v>
      </c>
    </row>
    <row r="50" spans="1:15">
      <c r="A50" s="9" t="s">
        <v>5</v>
      </c>
      <c r="B50" s="9" t="s">
        <v>304</v>
      </c>
      <c r="C50" s="9" t="s">
        <v>305</v>
      </c>
      <c r="D50" s="9" t="s">
        <v>306</v>
      </c>
      <c r="E50" s="9" t="s">
        <v>307</v>
      </c>
      <c r="F50" s="9" t="s">
        <v>47</v>
      </c>
      <c r="G50" s="9" t="s">
        <v>10</v>
      </c>
      <c r="H50" s="9" t="s">
        <v>48</v>
      </c>
      <c r="I50" s="9" t="s">
        <v>49</v>
      </c>
      <c r="J50" s="9" t="s">
        <v>48</v>
      </c>
      <c r="K50" s="9" t="s">
        <v>50</v>
      </c>
      <c r="L50" s="9" t="s">
        <v>308</v>
      </c>
      <c r="M50" s="9"/>
      <c r="N50" s="9"/>
      <c r="O50" s="9" t="s">
        <v>309</v>
      </c>
    </row>
    <row r="51" spans="1:15">
      <c r="A51" s="9" t="s">
        <v>5</v>
      </c>
      <c r="B51" s="9" t="s">
        <v>304</v>
      </c>
      <c r="C51" s="9" t="s">
        <v>310</v>
      </c>
      <c r="D51" s="9" t="s">
        <v>311</v>
      </c>
      <c r="E51" s="9" t="s">
        <v>312</v>
      </c>
      <c r="F51" s="9" t="s">
        <v>47</v>
      </c>
      <c r="G51" s="9" t="s">
        <v>10</v>
      </c>
      <c r="H51" s="9" t="s">
        <v>48</v>
      </c>
      <c r="I51" s="9" t="s">
        <v>49</v>
      </c>
      <c r="J51" s="9" t="s">
        <v>48</v>
      </c>
      <c r="K51" s="9" t="s">
        <v>50</v>
      </c>
      <c r="L51" s="9" t="s">
        <v>310</v>
      </c>
      <c r="M51" s="9"/>
      <c r="N51" s="9"/>
      <c r="O51" s="9" t="s">
        <v>313</v>
      </c>
    </row>
    <row r="52" spans="1:15">
      <c r="A52" s="9" t="s">
        <v>5</v>
      </c>
      <c r="B52" s="9" t="s">
        <v>304</v>
      </c>
      <c r="C52" s="9" t="s">
        <v>314</v>
      </c>
      <c r="D52" s="9" t="s">
        <v>315</v>
      </c>
      <c r="E52" s="9" t="s">
        <v>316</v>
      </c>
      <c r="F52" s="9" t="s">
        <v>47</v>
      </c>
      <c r="G52" s="9" t="s">
        <v>10</v>
      </c>
      <c r="H52" s="9" t="s">
        <v>48</v>
      </c>
      <c r="I52" s="9" t="s">
        <v>49</v>
      </c>
      <c r="J52" s="9" t="s">
        <v>48</v>
      </c>
      <c r="K52" s="9" t="s">
        <v>244</v>
      </c>
      <c r="L52" s="9" t="s">
        <v>317</v>
      </c>
      <c r="M52" s="9"/>
      <c r="N52" s="9" t="s">
        <v>318</v>
      </c>
      <c r="O52" s="9" t="s">
        <v>319</v>
      </c>
    </row>
    <row r="53" spans="1:15">
      <c r="A53" s="9" t="s">
        <v>5</v>
      </c>
      <c r="B53" s="9" t="s">
        <v>304</v>
      </c>
      <c r="C53" s="9" t="s">
        <v>320</v>
      </c>
      <c r="D53" s="9" t="s">
        <v>241</v>
      </c>
      <c r="E53" s="9" t="s">
        <v>321</v>
      </c>
      <c r="F53" s="9" t="s">
        <v>274</v>
      </c>
      <c r="G53" s="9" t="s">
        <v>10</v>
      </c>
      <c r="H53" s="9" t="s">
        <v>48</v>
      </c>
      <c r="I53" s="9" t="s">
        <v>49</v>
      </c>
      <c r="J53" s="9" t="s">
        <v>48</v>
      </c>
      <c r="K53" s="9" t="s">
        <v>244</v>
      </c>
      <c r="L53" s="9" t="s">
        <v>322</v>
      </c>
      <c r="M53" s="9"/>
      <c r="N53" s="9" t="s">
        <v>323</v>
      </c>
      <c r="O53" s="9" t="s">
        <v>324</v>
      </c>
    </row>
    <row r="54" spans="1:15">
      <c r="A54" s="9" t="s">
        <v>5</v>
      </c>
      <c r="B54" s="9" t="s">
        <v>304</v>
      </c>
      <c r="C54" s="9" t="s">
        <v>325</v>
      </c>
      <c r="D54" s="9" t="s">
        <v>326</v>
      </c>
      <c r="E54" s="9" t="s">
        <v>327</v>
      </c>
      <c r="F54" s="9" t="s">
        <v>176</v>
      </c>
      <c r="G54" s="9" t="s">
        <v>16</v>
      </c>
      <c r="H54" s="9" t="s">
        <v>49</v>
      </c>
      <c r="I54" s="9" t="s">
        <v>48</v>
      </c>
      <c r="J54" s="9" t="s">
        <v>48</v>
      </c>
      <c r="K54" s="9" t="s">
        <v>244</v>
      </c>
      <c r="L54" s="9" t="s">
        <v>325</v>
      </c>
      <c r="M54" s="9"/>
      <c r="N54" s="9"/>
      <c r="O54" s="9" t="s">
        <v>328</v>
      </c>
    </row>
    <row r="55" spans="1:15">
      <c r="A55" s="9" t="s">
        <v>5</v>
      </c>
      <c r="B55" s="9" t="s">
        <v>304</v>
      </c>
      <c r="C55" s="9" t="s">
        <v>329</v>
      </c>
      <c r="D55" s="9" t="s">
        <v>68</v>
      </c>
      <c r="E55" s="9" t="s">
        <v>330</v>
      </c>
      <c r="F55" s="9" t="s">
        <v>47</v>
      </c>
      <c r="G55" s="9" t="s">
        <v>12</v>
      </c>
      <c r="H55" s="9" t="s">
        <v>49</v>
      </c>
      <c r="I55" s="9" t="s">
        <v>49</v>
      </c>
      <c r="J55" s="9" t="s">
        <v>48</v>
      </c>
      <c r="K55" s="9" t="s">
        <v>128</v>
      </c>
      <c r="L55" s="9" t="s">
        <v>331</v>
      </c>
      <c r="M55" s="9"/>
      <c r="N55" s="9" t="s">
        <v>332</v>
      </c>
      <c r="O55" s="9" t="s">
        <v>333</v>
      </c>
    </row>
    <row r="56" spans="1:15">
      <c r="A56" s="9" t="s">
        <v>5</v>
      </c>
      <c r="B56" s="9" t="s">
        <v>304</v>
      </c>
      <c r="C56" s="9" t="s">
        <v>334</v>
      </c>
      <c r="D56" s="9" t="s">
        <v>241</v>
      </c>
      <c r="E56" s="9" t="s">
        <v>335</v>
      </c>
      <c r="F56" s="9" t="s">
        <v>243</v>
      </c>
      <c r="G56" s="9" t="s">
        <v>16</v>
      </c>
      <c r="H56" s="9" t="s">
        <v>49</v>
      </c>
      <c r="I56" s="9" t="s">
        <v>49</v>
      </c>
      <c r="J56" s="9" t="s">
        <v>48</v>
      </c>
      <c r="K56" s="9" t="s">
        <v>336</v>
      </c>
      <c r="L56" s="9" t="s">
        <v>337</v>
      </c>
      <c r="M56" s="9"/>
      <c r="N56" s="9" t="s">
        <v>323</v>
      </c>
      <c r="O56" s="9" t="s">
        <v>338</v>
      </c>
    </row>
    <row r="57" spans="1:15">
      <c r="A57" s="9" t="s">
        <v>5</v>
      </c>
      <c r="B57" s="9" t="s">
        <v>304</v>
      </c>
      <c r="C57" s="9" t="s">
        <v>339</v>
      </c>
      <c r="D57" s="9" t="s">
        <v>340</v>
      </c>
      <c r="E57" s="9" t="s">
        <v>341</v>
      </c>
      <c r="F57" s="9" t="s">
        <v>83</v>
      </c>
      <c r="G57" s="9" t="s">
        <v>16</v>
      </c>
      <c r="H57" s="9" t="s">
        <v>49</v>
      </c>
      <c r="I57" s="9" t="s">
        <v>49</v>
      </c>
      <c r="J57" s="9" t="s">
        <v>48</v>
      </c>
      <c r="K57" s="9" t="s">
        <v>50</v>
      </c>
      <c r="L57" s="9" t="s">
        <v>339</v>
      </c>
      <c r="M57" s="9"/>
      <c r="N57" s="9"/>
      <c r="O57" s="9" t="s">
        <v>342</v>
      </c>
    </row>
    <row r="58" spans="1:15">
      <c r="A58" s="9" t="s">
        <v>5</v>
      </c>
      <c r="B58" s="9" t="s">
        <v>304</v>
      </c>
      <c r="C58" s="9" t="s">
        <v>343</v>
      </c>
      <c r="D58" s="9" t="s">
        <v>344</v>
      </c>
      <c r="E58" s="9" t="s">
        <v>345</v>
      </c>
      <c r="F58" s="9" t="s">
        <v>47</v>
      </c>
      <c r="G58" s="9" t="s">
        <v>12</v>
      </c>
      <c r="H58" s="9" t="s">
        <v>49</v>
      </c>
      <c r="I58" s="9" t="s">
        <v>49</v>
      </c>
      <c r="J58" s="9" t="s">
        <v>48</v>
      </c>
      <c r="K58" s="9" t="s">
        <v>50</v>
      </c>
      <c r="L58" s="9" t="s">
        <v>346</v>
      </c>
      <c r="M58" s="9"/>
      <c r="N58" s="9" t="s">
        <v>347</v>
      </c>
      <c r="O58" s="9" t="s">
        <v>348</v>
      </c>
    </row>
    <row r="59" spans="1:15">
      <c r="A59" s="9" t="s">
        <v>5</v>
      </c>
      <c r="B59" s="9" t="s">
        <v>304</v>
      </c>
      <c r="C59" s="9" t="s">
        <v>349</v>
      </c>
      <c r="D59" s="9" t="s">
        <v>350</v>
      </c>
      <c r="E59" s="9" t="s">
        <v>351</v>
      </c>
      <c r="F59" s="9" t="s">
        <v>47</v>
      </c>
      <c r="G59" s="9" t="s">
        <v>10</v>
      </c>
      <c r="H59" s="9" t="s">
        <v>48</v>
      </c>
      <c r="I59" s="9" t="s">
        <v>49</v>
      </c>
      <c r="J59" s="9" t="s">
        <v>48</v>
      </c>
      <c r="K59" s="9" t="s">
        <v>50</v>
      </c>
      <c r="L59" s="9" t="s">
        <v>352</v>
      </c>
      <c r="M59" s="9"/>
      <c r="N59" s="9"/>
      <c r="O59" s="9" t="s">
        <v>353</v>
      </c>
    </row>
    <row r="60" spans="1:15">
      <c r="A60" s="9" t="s">
        <v>5</v>
      </c>
      <c r="B60" s="9" t="s">
        <v>304</v>
      </c>
      <c r="C60" s="9" t="s">
        <v>354</v>
      </c>
      <c r="D60" s="9" t="s">
        <v>355</v>
      </c>
      <c r="E60" s="9" t="s">
        <v>356</v>
      </c>
      <c r="F60" s="9" t="s">
        <v>83</v>
      </c>
      <c r="G60" s="9" t="s">
        <v>16</v>
      </c>
      <c r="H60" s="9" t="s">
        <v>49</v>
      </c>
      <c r="I60" s="9" t="s">
        <v>49</v>
      </c>
      <c r="J60" s="9" t="s">
        <v>48</v>
      </c>
      <c r="K60" s="9" t="s">
        <v>50</v>
      </c>
      <c r="L60" s="9" t="s">
        <v>357</v>
      </c>
      <c r="M60" s="9"/>
      <c r="N60" s="9" t="s">
        <v>358</v>
      </c>
      <c r="O60" s="9" t="s">
        <v>359</v>
      </c>
    </row>
    <row r="61" spans="1:15">
      <c r="A61" s="9" t="s">
        <v>5</v>
      </c>
      <c r="B61" s="9" t="s">
        <v>304</v>
      </c>
      <c r="C61" s="9" t="s">
        <v>360</v>
      </c>
      <c r="D61" s="9" t="s">
        <v>361</v>
      </c>
      <c r="E61" s="9" t="s">
        <v>362</v>
      </c>
      <c r="F61" s="9" t="s">
        <v>83</v>
      </c>
      <c r="G61" s="9" t="s">
        <v>16</v>
      </c>
      <c r="H61" s="9" t="s">
        <v>49</v>
      </c>
      <c r="I61" s="9" t="s">
        <v>49</v>
      </c>
      <c r="J61" s="9" t="s">
        <v>48</v>
      </c>
      <c r="K61" s="9" t="s">
        <v>50</v>
      </c>
      <c r="L61" s="9" t="s">
        <v>363</v>
      </c>
      <c r="M61" s="9"/>
      <c r="N61" s="9" t="s">
        <v>364</v>
      </c>
      <c r="O61" s="9" t="s">
        <v>365</v>
      </c>
    </row>
    <row r="62" spans="1:15">
      <c r="A62" s="9" t="s">
        <v>5</v>
      </c>
      <c r="B62" s="9" t="s">
        <v>304</v>
      </c>
      <c r="C62" s="9" t="s">
        <v>366</v>
      </c>
      <c r="D62" s="9" t="s">
        <v>367</v>
      </c>
      <c r="E62" s="9" t="s">
        <v>368</v>
      </c>
      <c r="F62" s="9" t="s">
        <v>83</v>
      </c>
      <c r="G62" s="9" t="s">
        <v>16</v>
      </c>
      <c r="H62" s="9" t="s">
        <v>49</v>
      </c>
      <c r="I62" s="9" t="s">
        <v>49</v>
      </c>
      <c r="J62" s="9" t="s">
        <v>48</v>
      </c>
      <c r="K62" s="9" t="s">
        <v>50</v>
      </c>
      <c r="L62" s="9" t="s">
        <v>369</v>
      </c>
      <c r="M62" s="9"/>
      <c r="N62" s="9" t="s">
        <v>370</v>
      </c>
      <c r="O62" s="9" t="s">
        <v>371</v>
      </c>
    </row>
    <row r="63" spans="1:15">
      <c r="A63" s="9" t="s">
        <v>5</v>
      </c>
      <c r="B63" s="9" t="s">
        <v>304</v>
      </c>
      <c r="C63" s="9" t="s">
        <v>372</v>
      </c>
      <c r="D63" s="9" t="s">
        <v>373</v>
      </c>
      <c r="E63" s="9" t="s">
        <v>374</v>
      </c>
      <c r="F63" s="9" t="s">
        <v>83</v>
      </c>
      <c r="G63" s="9" t="s">
        <v>16</v>
      </c>
      <c r="H63" s="9" t="s">
        <v>49</v>
      </c>
      <c r="I63" s="9" t="s">
        <v>49</v>
      </c>
      <c r="J63" s="9" t="s">
        <v>48</v>
      </c>
      <c r="K63" s="9" t="s">
        <v>50</v>
      </c>
      <c r="L63" s="9" t="s">
        <v>375</v>
      </c>
      <c r="M63" s="9"/>
      <c r="N63" s="9" t="s">
        <v>376</v>
      </c>
      <c r="O63" s="9" t="s">
        <v>377</v>
      </c>
    </row>
    <row r="64" spans="1:15">
      <c r="A64" s="9" t="s">
        <v>5</v>
      </c>
      <c r="B64" s="9" t="s">
        <v>304</v>
      </c>
      <c r="C64" s="9" t="s">
        <v>378</v>
      </c>
      <c r="D64" s="9" t="s">
        <v>379</v>
      </c>
      <c r="E64" s="9" t="s">
        <v>380</v>
      </c>
      <c r="F64" s="9" t="s">
        <v>83</v>
      </c>
      <c r="G64" s="9" t="s">
        <v>16</v>
      </c>
      <c r="H64" s="9" t="s">
        <v>49</v>
      </c>
      <c r="I64" s="9" t="s">
        <v>49</v>
      </c>
      <c r="J64" s="9" t="s">
        <v>48</v>
      </c>
      <c r="K64" s="9" t="s">
        <v>381</v>
      </c>
      <c r="L64" s="9" t="s">
        <v>382</v>
      </c>
      <c r="M64" s="9"/>
      <c r="N64" s="9" t="s">
        <v>383</v>
      </c>
      <c r="O64" s="9" t="s">
        <v>384</v>
      </c>
    </row>
    <row r="65" spans="1:15">
      <c r="A65" s="9" t="s">
        <v>5</v>
      </c>
      <c r="B65" s="9" t="s">
        <v>304</v>
      </c>
      <c r="C65" s="9" t="s">
        <v>385</v>
      </c>
      <c r="D65" s="9" t="s">
        <v>386</v>
      </c>
      <c r="E65" s="9" t="s">
        <v>387</v>
      </c>
      <c r="F65" s="9" t="s">
        <v>83</v>
      </c>
      <c r="G65" s="9" t="s">
        <v>16</v>
      </c>
      <c r="H65" s="9" t="s">
        <v>49</v>
      </c>
      <c r="I65" s="9" t="s">
        <v>49</v>
      </c>
      <c r="J65" s="9" t="s">
        <v>48</v>
      </c>
      <c r="K65" s="9" t="s">
        <v>50</v>
      </c>
      <c r="L65" s="9" t="s">
        <v>385</v>
      </c>
      <c r="M65" s="9"/>
      <c r="N65" s="9"/>
      <c r="O65" s="9" t="s">
        <v>388</v>
      </c>
    </row>
    <row r="66" spans="1:15">
      <c r="A66" s="9" t="s">
        <v>5</v>
      </c>
      <c r="B66" s="9" t="s">
        <v>304</v>
      </c>
      <c r="C66" s="9" t="s">
        <v>389</v>
      </c>
      <c r="D66" s="9" t="s">
        <v>390</v>
      </c>
      <c r="E66" s="9" t="s">
        <v>391</v>
      </c>
      <c r="F66" s="9" t="s">
        <v>47</v>
      </c>
      <c r="G66" s="9" t="s">
        <v>12</v>
      </c>
      <c r="H66" s="9" t="s">
        <v>49</v>
      </c>
      <c r="I66" s="9" t="s">
        <v>49</v>
      </c>
      <c r="J66" s="9" t="s">
        <v>48</v>
      </c>
      <c r="K66" s="9" t="s">
        <v>50</v>
      </c>
      <c r="L66" s="9" t="s">
        <v>363</v>
      </c>
      <c r="M66" s="9"/>
      <c r="N66" s="9" t="s">
        <v>392</v>
      </c>
      <c r="O66" s="9" t="s">
        <v>393</v>
      </c>
    </row>
    <row r="67" spans="1:15">
      <c r="A67" s="9" t="s">
        <v>5</v>
      </c>
      <c r="B67" s="9" t="s">
        <v>304</v>
      </c>
      <c r="C67" s="9" t="s">
        <v>394</v>
      </c>
      <c r="D67" s="9" t="s">
        <v>395</v>
      </c>
      <c r="E67" s="9" t="s">
        <v>396</v>
      </c>
      <c r="F67" s="9" t="s">
        <v>47</v>
      </c>
      <c r="G67" s="9" t="s">
        <v>10</v>
      </c>
      <c r="H67" s="9" t="s">
        <v>48</v>
      </c>
      <c r="I67" s="9" t="s">
        <v>49</v>
      </c>
      <c r="J67" s="9" t="s">
        <v>48</v>
      </c>
      <c r="K67" s="9" t="s">
        <v>381</v>
      </c>
      <c r="L67" s="9" t="s">
        <v>394</v>
      </c>
      <c r="M67" s="9"/>
      <c r="N67" s="9"/>
      <c r="O67" s="9" t="s">
        <v>397</v>
      </c>
    </row>
    <row r="68" spans="1:15">
      <c r="A68" s="9" t="s">
        <v>5</v>
      </c>
      <c r="B68" s="9" t="s">
        <v>304</v>
      </c>
      <c r="C68" s="9" t="s">
        <v>398</v>
      </c>
      <c r="D68" s="9" t="s">
        <v>399</v>
      </c>
      <c r="E68" s="9" t="s">
        <v>400</v>
      </c>
      <c r="F68" s="9" t="s">
        <v>47</v>
      </c>
      <c r="G68" s="9" t="s">
        <v>10</v>
      </c>
      <c r="H68" s="9" t="s">
        <v>48</v>
      </c>
      <c r="I68" s="9" t="s">
        <v>49</v>
      </c>
      <c r="J68" s="9" t="s">
        <v>48</v>
      </c>
      <c r="K68" s="9" t="s">
        <v>381</v>
      </c>
      <c r="L68" s="9" t="s">
        <v>401</v>
      </c>
      <c r="M68" s="9"/>
      <c r="N68" s="9" t="s">
        <v>402</v>
      </c>
      <c r="O68" s="9" t="s">
        <v>403</v>
      </c>
    </row>
    <row r="69" spans="1:15">
      <c r="A69" s="9" t="s">
        <v>5</v>
      </c>
      <c r="B69" s="9" t="s">
        <v>304</v>
      </c>
      <c r="C69" s="9" t="s">
        <v>404</v>
      </c>
      <c r="D69" s="9" t="s">
        <v>405</v>
      </c>
      <c r="E69" s="9" t="s">
        <v>406</v>
      </c>
      <c r="F69" s="9" t="s">
        <v>407</v>
      </c>
      <c r="G69" s="9" t="s">
        <v>16</v>
      </c>
      <c r="H69" s="9" t="s">
        <v>49</v>
      </c>
      <c r="I69" s="9" t="s">
        <v>49</v>
      </c>
      <c r="J69" s="9" t="s">
        <v>48</v>
      </c>
      <c r="K69" s="9" t="s">
        <v>50</v>
      </c>
      <c r="L69" s="9" t="s">
        <v>404</v>
      </c>
      <c r="M69" s="9"/>
      <c r="N69" s="9"/>
      <c r="O69" s="9" t="s">
        <v>408</v>
      </c>
    </row>
    <row r="70" spans="1:15">
      <c r="A70" s="9" t="s">
        <v>5</v>
      </c>
      <c r="B70" s="9" t="s">
        <v>304</v>
      </c>
      <c r="C70" s="9" t="s">
        <v>409</v>
      </c>
      <c r="D70" s="9" t="s">
        <v>410</v>
      </c>
      <c r="E70" s="9" t="s">
        <v>411</v>
      </c>
      <c r="F70" s="9" t="s">
        <v>47</v>
      </c>
      <c r="G70" s="9" t="s">
        <v>12</v>
      </c>
      <c r="H70" s="9" t="s">
        <v>49</v>
      </c>
      <c r="I70" s="9" t="s">
        <v>49</v>
      </c>
      <c r="J70" s="9" t="s">
        <v>48</v>
      </c>
      <c r="K70" s="9" t="s">
        <v>128</v>
      </c>
      <c r="L70" s="9" t="s">
        <v>412</v>
      </c>
      <c r="M70" s="9"/>
      <c r="N70" s="9" t="s">
        <v>413</v>
      </c>
      <c r="O70" s="9" t="s">
        <v>414</v>
      </c>
    </row>
    <row r="71" spans="1:15">
      <c r="A71" s="9" t="s">
        <v>5</v>
      </c>
      <c r="B71" s="9" t="s">
        <v>304</v>
      </c>
      <c r="C71" s="9" t="s">
        <v>415</v>
      </c>
      <c r="D71" s="9" t="s">
        <v>416</v>
      </c>
      <c r="E71" s="9" t="s">
        <v>417</v>
      </c>
      <c r="F71" s="9" t="s">
        <v>47</v>
      </c>
      <c r="G71" s="9" t="s">
        <v>12</v>
      </c>
      <c r="H71" s="9" t="s">
        <v>49</v>
      </c>
      <c r="I71" s="9" t="s">
        <v>49</v>
      </c>
      <c r="J71" s="9" t="s">
        <v>48</v>
      </c>
      <c r="K71" s="9" t="s">
        <v>418</v>
      </c>
      <c r="L71" s="9" t="s">
        <v>415</v>
      </c>
      <c r="M71" s="9"/>
      <c r="N71" s="9"/>
      <c r="O71" s="9" t="s">
        <v>419</v>
      </c>
    </row>
    <row r="72" spans="1:15">
      <c r="A72" s="9" t="s">
        <v>5</v>
      </c>
      <c r="B72" s="9" t="s">
        <v>304</v>
      </c>
      <c r="C72" s="9" t="s">
        <v>68</v>
      </c>
      <c r="D72" s="9" t="s">
        <v>68</v>
      </c>
      <c r="E72" s="9" t="s">
        <v>420</v>
      </c>
      <c r="F72" s="9" t="s">
        <v>47</v>
      </c>
      <c r="G72" s="9" t="s">
        <v>12</v>
      </c>
      <c r="H72" s="9" t="s">
        <v>49</v>
      </c>
      <c r="I72" s="9" t="s">
        <v>49</v>
      </c>
      <c r="J72" s="9" t="s">
        <v>48</v>
      </c>
      <c r="K72" s="9" t="s">
        <v>50</v>
      </c>
      <c r="L72" s="9" t="s">
        <v>421</v>
      </c>
      <c r="M72" s="9"/>
      <c r="N72" s="9" t="s">
        <v>422</v>
      </c>
      <c r="O72" s="9" t="s">
        <v>423</v>
      </c>
    </row>
    <row r="73" spans="1:15">
      <c r="A73" s="9" t="s">
        <v>5</v>
      </c>
      <c r="B73" s="9" t="s">
        <v>304</v>
      </c>
      <c r="C73" s="9" t="s">
        <v>424</v>
      </c>
      <c r="D73" s="9" t="s">
        <v>425</v>
      </c>
      <c r="E73" s="9" t="s">
        <v>426</v>
      </c>
      <c r="F73" s="9" t="s">
        <v>47</v>
      </c>
      <c r="G73" s="9" t="s">
        <v>10</v>
      </c>
      <c r="H73" s="9" t="s">
        <v>48</v>
      </c>
      <c r="I73" s="9" t="s">
        <v>49</v>
      </c>
      <c r="J73" s="9" t="s">
        <v>48</v>
      </c>
      <c r="K73" s="9" t="s">
        <v>50</v>
      </c>
      <c r="L73" s="9" t="s">
        <v>424</v>
      </c>
      <c r="M73" s="9"/>
      <c r="N73" s="9"/>
      <c r="O73" s="9" t="s">
        <v>427</v>
      </c>
    </row>
    <row r="74" spans="1:15">
      <c r="A74" s="9" t="s">
        <v>5</v>
      </c>
      <c r="B74" s="9" t="s">
        <v>304</v>
      </c>
      <c r="C74" s="9" t="s">
        <v>428</v>
      </c>
      <c r="D74" s="9" t="s">
        <v>429</v>
      </c>
      <c r="E74" s="9" t="s">
        <v>430</v>
      </c>
      <c r="F74" s="9" t="s">
        <v>47</v>
      </c>
      <c r="G74" s="9" t="s">
        <v>10</v>
      </c>
      <c r="H74" s="9" t="s">
        <v>48</v>
      </c>
      <c r="I74" s="9" t="s">
        <v>49</v>
      </c>
      <c r="J74" s="9" t="s">
        <v>48</v>
      </c>
      <c r="K74" s="9" t="s">
        <v>50</v>
      </c>
      <c r="L74" s="9" t="s">
        <v>431</v>
      </c>
      <c r="M74" s="9"/>
      <c r="N74" s="9" t="s">
        <v>432</v>
      </c>
      <c r="O74" s="9" t="s">
        <v>433</v>
      </c>
    </row>
    <row r="75" spans="1:15">
      <c r="A75" s="9" t="s">
        <v>5</v>
      </c>
      <c r="B75" s="9" t="s">
        <v>304</v>
      </c>
      <c r="C75" s="9" t="s">
        <v>434</v>
      </c>
      <c r="D75" s="9" t="s">
        <v>410</v>
      </c>
      <c r="E75" s="9" t="s">
        <v>435</v>
      </c>
      <c r="F75" s="9" t="s">
        <v>83</v>
      </c>
      <c r="G75" s="9" t="s">
        <v>14</v>
      </c>
      <c r="H75" s="9" t="s">
        <v>49</v>
      </c>
      <c r="I75" s="9" t="s">
        <v>49</v>
      </c>
      <c r="J75" s="9" t="s">
        <v>48</v>
      </c>
      <c r="K75" s="9" t="s">
        <v>128</v>
      </c>
      <c r="L75" s="9" t="s">
        <v>436</v>
      </c>
      <c r="M75" s="9"/>
      <c r="N75" s="9" t="s">
        <v>437</v>
      </c>
      <c r="O75" s="9" t="s">
        <v>438</v>
      </c>
    </row>
    <row r="76" spans="1:15">
      <c r="A76" s="9" t="s">
        <v>5</v>
      </c>
      <c r="B76" s="9" t="s">
        <v>304</v>
      </c>
      <c r="C76" s="9" t="s">
        <v>439</v>
      </c>
      <c r="D76" s="9" t="s">
        <v>241</v>
      </c>
      <c r="E76" s="9" t="s">
        <v>440</v>
      </c>
      <c r="F76" s="9" t="s">
        <v>243</v>
      </c>
      <c r="G76" s="9" t="s">
        <v>16</v>
      </c>
      <c r="H76" s="9" t="s">
        <v>49</v>
      </c>
      <c r="I76" s="9" t="s">
        <v>49</v>
      </c>
      <c r="J76" s="9" t="s">
        <v>48</v>
      </c>
      <c r="K76" s="9" t="s">
        <v>244</v>
      </c>
      <c r="L76" s="9" t="s">
        <v>441</v>
      </c>
      <c r="M76" s="9"/>
      <c r="N76" s="9" t="s">
        <v>442</v>
      </c>
      <c r="O76" s="9" t="s">
        <v>443</v>
      </c>
    </row>
    <row r="77" spans="1:15">
      <c r="A77" s="9" t="s">
        <v>5</v>
      </c>
      <c r="B77" s="9" t="s">
        <v>304</v>
      </c>
      <c r="C77" s="9" t="s">
        <v>444</v>
      </c>
      <c r="D77" s="9" t="s">
        <v>445</v>
      </c>
      <c r="E77" s="9" t="s">
        <v>446</v>
      </c>
      <c r="F77" s="9" t="s">
        <v>83</v>
      </c>
      <c r="G77" s="9" t="s">
        <v>16</v>
      </c>
      <c r="H77" s="9" t="s">
        <v>49</v>
      </c>
      <c r="I77" s="9" t="s">
        <v>49</v>
      </c>
      <c r="J77" s="9" t="s">
        <v>48</v>
      </c>
      <c r="K77" s="9" t="s">
        <v>50</v>
      </c>
      <c r="L77" s="9" t="s">
        <v>447</v>
      </c>
      <c r="M77" s="9"/>
      <c r="N77" s="9" t="s">
        <v>448</v>
      </c>
      <c r="O77" s="9" t="s">
        <v>449</v>
      </c>
    </row>
    <row r="78" spans="1:15">
      <c r="A78" s="9" t="s">
        <v>5</v>
      </c>
      <c r="B78" s="9" t="s">
        <v>304</v>
      </c>
      <c r="C78" s="9" t="s">
        <v>450</v>
      </c>
      <c r="D78" s="9" t="s">
        <v>451</v>
      </c>
      <c r="E78" s="9" t="s">
        <v>452</v>
      </c>
      <c r="F78" s="9" t="s">
        <v>83</v>
      </c>
      <c r="G78" s="9" t="s">
        <v>16</v>
      </c>
      <c r="H78" s="9" t="s">
        <v>49</v>
      </c>
      <c r="I78" s="9" t="s">
        <v>49</v>
      </c>
      <c r="J78" s="9" t="s">
        <v>48</v>
      </c>
      <c r="K78" s="9" t="s">
        <v>50</v>
      </c>
      <c r="L78" s="9" t="s">
        <v>453</v>
      </c>
      <c r="M78" s="9"/>
      <c r="N78" s="9"/>
      <c r="O78" s="9" t="s">
        <v>454</v>
      </c>
    </row>
    <row r="79" spans="1:15">
      <c r="A79" s="9" t="s">
        <v>5</v>
      </c>
      <c r="B79" s="9" t="s">
        <v>304</v>
      </c>
      <c r="C79" s="9" t="s">
        <v>455</v>
      </c>
      <c r="D79" s="9" t="s">
        <v>344</v>
      </c>
      <c r="E79" s="9" t="s">
        <v>456</v>
      </c>
      <c r="F79" s="9" t="s">
        <v>83</v>
      </c>
      <c r="G79" s="9" t="s">
        <v>16</v>
      </c>
      <c r="H79" s="9" t="s">
        <v>49</v>
      </c>
      <c r="I79" s="9" t="s">
        <v>49</v>
      </c>
      <c r="J79" s="9" t="s">
        <v>48</v>
      </c>
      <c r="K79" s="9" t="s">
        <v>50</v>
      </c>
      <c r="L79" s="9" t="s">
        <v>457</v>
      </c>
      <c r="M79" s="9"/>
      <c r="N79" s="9" t="s">
        <v>458</v>
      </c>
      <c r="O79" s="9" t="s">
        <v>459</v>
      </c>
    </row>
    <row r="80" spans="1:15">
      <c r="A80" s="9" t="s">
        <v>5</v>
      </c>
      <c r="B80" s="9" t="s">
        <v>304</v>
      </c>
      <c r="C80" s="9" t="s">
        <v>460</v>
      </c>
      <c r="D80" s="9" t="s">
        <v>461</v>
      </c>
      <c r="E80" s="9" t="s">
        <v>462</v>
      </c>
      <c r="F80" s="9" t="s">
        <v>83</v>
      </c>
      <c r="G80" s="9" t="s">
        <v>16</v>
      </c>
      <c r="H80" s="9" t="s">
        <v>49</v>
      </c>
      <c r="I80" s="9" t="s">
        <v>49</v>
      </c>
      <c r="J80" s="9" t="s">
        <v>48</v>
      </c>
      <c r="K80" s="9" t="s">
        <v>50</v>
      </c>
      <c r="L80" s="9" t="s">
        <v>463</v>
      </c>
      <c r="M80" s="9"/>
      <c r="N80" s="9" t="s">
        <v>464</v>
      </c>
      <c r="O80" s="9" t="s">
        <v>465</v>
      </c>
    </row>
    <row r="81" spans="1:15">
      <c r="A81" s="9" t="s">
        <v>5</v>
      </c>
      <c r="B81" s="9" t="s">
        <v>304</v>
      </c>
      <c r="C81" s="9" t="s">
        <v>466</v>
      </c>
      <c r="D81" s="9" t="s">
        <v>467</v>
      </c>
      <c r="E81" s="9" t="s">
        <v>468</v>
      </c>
      <c r="F81" s="9" t="s">
        <v>83</v>
      </c>
      <c r="G81" s="9" t="s">
        <v>16</v>
      </c>
      <c r="H81" s="9" t="s">
        <v>49</v>
      </c>
      <c r="I81" s="9" t="s">
        <v>49</v>
      </c>
      <c r="J81" s="9" t="s">
        <v>48</v>
      </c>
      <c r="K81" s="9" t="s">
        <v>469</v>
      </c>
      <c r="L81" s="9" t="s">
        <v>470</v>
      </c>
      <c r="M81" s="9"/>
      <c r="N81" s="9" t="s">
        <v>471</v>
      </c>
      <c r="O81" s="9" t="s">
        <v>472</v>
      </c>
    </row>
    <row r="82" spans="1:15">
      <c r="A82" s="9" t="s">
        <v>5</v>
      </c>
      <c r="B82" s="9" t="s">
        <v>473</v>
      </c>
      <c r="C82" s="9" t="s">
        <v>474</v>
      </c>
      <c r="D82" s="9" t="s">
        <v>475</v>
      </c>
      <c r="E82" s="9" t="s">
        <v>476</v>
      </c>
      <c r="F82" s="9" t="s">
        <v>47</v>
      </c>
      <c r="G82" s="9" t="s">
        <v>10</v>
      </c>
      <c r="H82" s="9" t="s">
        <v>48</v>
      </c>
      <c r="I82" s="9" t="s">
        <v>49</v>
      </c>
      <c r="J82" s="9" t="s">
        <v>48</v>
      </c>
      <c r="K82" s="9" t="s">
        <v>50</v>
      </c>
      <c r="L82" s="9" t="s">
        <v>477</v>
      </c>
      <c r="M82" s="9"/>
      <c r="N82" s="9"/>
      <c r="O82" s="9" t="s">
        <v>478</v>
      </c>
    </row>
    <row r="83" spans="1:15">
      <c r="A83" s="9" t="s">
        <v>5</v>
      </c>
      <c r="B83" s="9" t="s">
        <v>473</v>
      </c>
      <c r="C83" s="9" t="s">
        <v>310</v>
      </c>
      <c r="D83" s="9" t="s">
        <v>311</v>
      </c>
      <c r="E83" s="9" t="s">
        <v>479</v>
      </c>
      <c r="F83" s="9" t="s">
        <v>47</v>
      </c>
      <c r="G83" s="9" t="s">
        <v>10</v>
      </c>
      <c r="H83" s="9" t="s">
        <v>48</v>
      </c>
      <c r="I83" s="9" t="s">
        <v>49</v>
      </c>
      <c r="J83" s="9" t="s">
        <v>48</v>
      </c>
      <c r="K83" s="9" t="s">
        <v>50</v>
      </c>
      <c r="L83" s="9" t="s">
        <v>310</v>
      </c>
      <c r="M83" s="9"/>
      <c r="N83" s="9"/>
      <c r="O83" s="9" t="s">
        <v>480</v>
      </c>
    </row>
    <row r="84" spans="1:15">
      <c r="A84" s="9" t="s">
        <v>5</v>
      </c>
      <c r="B84" s="9" t="s">
        <v>473</v>
      </c>
      <c r="C84" s="9" t="s">
        <v>481</v>
      </c>
      <c r="D84" s="9" t="s">
        <v>315</v>
      </c>
      <c r="E84" s="9" t="s">
        <v>482</v>
      </c>
      <c r="F84" s="9" t="s">
        <v>47</v>
      </c>
      <c r="G84" s="9" t="s">
        <v>10</v>
      </c>
      <c r="H84" s="9" t="s">
        <v>48</v>
      </c>
      <c r="I84" s="9" t="s">
        <v>49</v>
      </c>
      <c r="J84" s="9" t="s">
        <v>48</v>
      </c>
      <c r="K84" s="9" t="s">
        <v>244</v>
      </c>
      <c r="L84" s="9" t="s">
        <v>483</v>
      </c>
      <c r="M84" s="9"/>
      <c r="N84" s="9" t="s">
        <v>437</v>
      </c>
      <c r="O84" s="9" t="s">
        <v>484</v>
      </c>
    </row>
    <row r="85" spans="1:15">
      <c r="A85" s="9" t="s">
        <v>5</v>
      </c>
      <c r="B85" s="9" t="s">
        <v>473</v>
      </c>
      <c r="C85" s="9" t="s">
        <v>485</v>
      </c>
      <c r="D85" s="9" t="s">
        <v>241</v>
      </c>
      <c r="E85" s="9" t="s">
        <v>486</v>
      </c>
      <c r="F85" s="9" t="s">
        <v>274</v>
      </c>
      <c r="G85" s="9" t="s">
        <v>10</v>
      </c>
      <c r="H85" s="9" t="s">
        <v>48</v>
      </c>
      <c r="I85" s="9" t="s">
        <v>49</v>
      </c>
      <c r="J85" s="9" t="s">
        <v>48</v>
      </c>
      <c r="K85" s="9" t="s">
        <v>244</v>
      </c>
      <c r="L85" s="9" t="s">
        <v>487</v>
      </c>
      <c r="M85" s="9"/>
      <c r="N85" s="9" t="s">
        <v>488</v>
      </c>
      <c r="O85" s="9" t="s">
        <v>489</v>
      </c>
    </row>
    <row r="86" spans="1:15">
      <c r="A86" s="9" t="s">
        <v>5</v>
      </c>
      <c r="B86" s="9" t="s">
        <v>473</v>
      </c>
      <c r="C86" s="9" t="s">
        <v>325</v>
      </c>
      <c r="D86" s="9" t="s">
        <v>326</v>
      </c>
      <c r="E86" s="9" t="s">
        <v>490</v>
      </c>
      <c r="F86" s="9" t="s">
        <v>83</v>
      </c>
      <c r="G86" s="9" t="s">
        <v>16</v>
      </c>
      <c r="H86" s="9" t="s">
        <v>49</v>
      </c>
      <c r="I86" s="9" t="s">
        <v>49</v>
      </c>
      <c r="J86" s="9" t="s">
        <v>48</v>
      </c>
      <c r="K86" s="9" t="s">
        <v>244</v>
      </c>
      <c r="L86" s="9" t="s">
        <v>325</v>
      </c>
      <c r="M86" s="9"/>
      <c r="N86" s="9"/>
      <c r="O86" s="9" t="s">
        <v>491</v>
      </c>
    </row>
    <row r="87" spans="1:15">
      <c r="A87" s="9" t="s">
        <v>5</v>
      </c>
      <c r="B87" s="9" t="s">
        <v>473</v>
      </c>
      <c r="C87" s="9" t="s">
        <v>492</v>
      </c>
      <c r="D87" s="9" t="s">
        <v>68</v>
      </c>
      <c r="E87" s="9" t="s">
        <v>493</v>
      </c>
      <c r="F87" s="9" t="s">
        <v>47</v>
      </c>
      <c r="G87" s="9" t="s">
        <v>12</v>
      </c>
      <c r="H87" s="9" t="s">
        <v>49</v>
      </c>
      <c r="I87" s="9" t="s">
        <v>49</v>
      </c>
      <c r="J87" s="9" t="s">
        <v>48</v>
      </c>
      <c r="K87" s="9" t="s">
        <v>50</v>
      </c>
      <c r="L87" s="9" t="s">
        <v>494</v>
      </c>
      <c r="M87" s="9"/>
      <c r="N87" s="9" t="s">
        <v>495</v>
      </c>
      <c r="O87" s="9" t="s">
        <v>496</v>
      </c>
    </row>
    <row r="88" spans="1:15">
      <c r="A88" s="9" t="s">
        <v>5</v>
      </c>
      <c r="B88" s="9" t="s">
        <v>473</v>
      </c>
      <c r="C88" s="9" t="s">
        <v>497</v>
      </c>
      <c r="D88" s="9" t="s">
        <v>241</v>
      </c>
      <c r="E88" s="9" t="s">
        <v>498</v>
      </c>
      <c r="F88" s="9" t="s">
        <v>243</v>
      </c>
      <c r="G88" s="9" t="s">
        <v>16</v>
      </c>
      <c r="H88" s="9" t="s">
        <v>49</v>
      </c>
      <c r="I88" s="9" t="s">
        <v>49</v>
      </c>
      <c r="J88" s="9" t="s">
        <v>48</v>
      </c>
      <c r="K88" s="9" t="s">
        <v>244</v>
      </c>
      <c r="L88" s="9" t="s">
        <v>499</v>
      </c>
      <c r="M88" s="9"/>
      <c r="N88" s="9" t="s">
        <v>323</v>
      </c>
      <c r="O88" s="9" t="s">
        <v>500</v>
      </c>
    </row>
    <row r="89" spans="1:15">
      <c r="A89" s="9" t="s">
        <v>5</v>
      </c>
      <c r="B89" s="9" t="s">
        <v>473</v>
      </c>
      <c r="C89" s="9" t="s">
        <v>339</v>
      </c>
      <c r="D89" s="9" t="s">
        <v>340</v>
      </c>
      <c r="E89" s="9" t="s">
        <v>501</v>
      </c>
      <c r="F89" s="9" t="s">
        <v>83</v>
      </c>
      <c r="G89" s="9" t="s">
        <v>16</v>
      </c>
      <c r="H89" s="9" t="s">
        <v>49</v>
      </c>
      <c r="I89" s="9" t="s">
        <v>49</v>
      </c>
      <c r="J89" s="9" t="s">
        <v>48</v>
      </c>
      <c r="K89" s="9" t="s">
        <v>50</v>
      </c>
      <c r="L89" s="9" t="s">
        <v>339</v>
      </c>
      <c r="M89" s="9"/>
      <c r="N89" s="9"/>
      <c r="O89" s="9" t="s">
        <v>502</v>
      </c>
    </row>
    <row r="90" spans="1:15">
      <c r="A90" s="9" t="s">
        <v>5</v>
      </c>
      <c r="B90" s="9" t="s">
        <v>473</v>
      </c>
      <c r="C90" s="9" t="s">
        <v>503</v>
      </c>
      <c r="D90" s="9" t="s">
        <v>344</v>
      </c>
      <c r="E90" s="9" t="s">
        <v>504</v>
      </c>
      <c r="F90" s="9" t="s">
        <v>47</v>
      </c>
      <c r="G90" s="9" t="s">
        <v>12</v>
      </c>
      <c r="H90" s="9" t="s">
        <v>49</v>
      </c>
      <c r="I90" s="9" t="s">
        <v>49</v>
      </c>
      <c r="J90" s="9" t="s">
        <v>48</v>
      </c>
      <c r="K90" s="9" t="s">
        <v>50</v>
      </c>
      <c r="L90" s="9" t="s">
        <v>505</v>
      </c>
      <c r="M90" s="9"/>
      <c r="N90" s="9" t="s">
        <v>506</v>
      </c>
      <c r="O90" s="9" t="s">
        <v>507</v>
      </c>
    </row>
    <row r="91" spans="1:15">
      <c r="A91" s="9" t="s">
        <v>5</v>
      </c>
      <c r="B91" s="9" t="s">
        <v>473</v>
      </c>
      <c r="C91" s="9" t="s">
        <v>508</v>
      </c>
      <c r="D91" s="9" t="s">
        <v>350</v>
      </c>
      <c r="E91" s="9" t="s">
        <v>509</v>
      </c>
      <c r="F91" s="9" t="s">
        <v>47</v>
      </c>
      <c r="G91" s="9" t="s">
        <v>10</v>
      </c>
      <c r="H91" s="9" t="s">
        <v>48</v>
      </c>
      <c r="I91" s="9" t="s">
        <v>49</v>
      </c>
      <c r="J91" s="9" t="s">
        <v>48</v>
      </c>
      <c r="K91" s="9" t="s">
        <v>50</v>
      </c>
      <c r="L91" s="9" t="s">
        <v>510</v>
      </c>
      <c r="M91" s="9"/>
      <c r="N91" s="9"/>
      <c r="O91" s="9" t="s">
        <v>511</v>
      </c>
    </row>
    <row r="92" spans="1:15">
      <c r="A92" s="9" t="s">
        <v>5</v>
      </c>
      <c r="B92" s="9" t="s">
        <v>473</v>
      </c>
      <c r="C92" s="9" t="s">
        <v>512</v>
      </c>
      <c r="D92" s="9" t="s">
        <v>355</v>
      </c>
      <c r="E92" s="9" t="s">
        <v>513</v>
      </c>
      <c r="F92" s="9" t="s">
        <v>83</v>
      </c>
      <c r="G92" s="9" t="s">
        <v>16</v>
      </c>
      <c r="H92" s="9" t="s">
        <v>49</v>
      </c>
      <c r="I92" s="9" t="s">
        <v>49</v>
      </c>
      <c r="J92" s="9" t="s">
        <v>48</v>
      </c>
      <c r="K92" s="9" t="s">
        <v>50</v>
      </c>
      <c r="L92" s="9" t="s">
        <v>357</v>
      </c>
      <c r="M92" s="9"/>
      <c r="N92" s="9" t="s">
        <v>514</v>
      </c>
      <c r="O92" s="9" t="s">
        <v>515</v>
      </c>
    </row>
    <row r="93" spans="1:15">
      <c r="A93" s="9" t="s">
        <v>5</v>
      </c>
      <c r="B93" s="9" t="s">
        <v>473</v>
      </c>
      <c r="C93" s="9" t="s">
        <v>516</v>
      </c>
      <c r="D93" s="9" t="s">
        <v>361</v>
      </c>
      <c r="E93" s="9" t="s">
        <v>517</v>
      </c>
      <c r="F93" s="9" t="s">
        <v>83</v>
      </c>
      <c r="G93" s="9" t="s">
        <v>16</v>
      </c>
      <c r="H93" s="9" t="s">
        <v>49</v>
      </c>
      <c r="I93" s="9" t="s">
        <v>49</v>
      </c>
      <c r="J93" s="9" t="s">
        <v>48</v>
      </c>
      <c r="K93" s="9" t="s">
        <v>50</v>
      </c>
      <c r="L93" s="9" t="s">
        <v>363</v>
      </c>
      <c r="M93" s="9"/>
      <c r="N93" s="9" t="s">
        <v>518</v>
      </c>
      <c r="O93" s="9" t="s">
        <v>519</v>
      </c>
    </row>
    <row r="94" spans="1:15">
      <c r="A94" s="9" t="s">
        <v>5</v>
      </c>
      <c r="B94" s="9" t="s">
        <v>473</v>
      </c>
      <c r="C94" s="9" t="s">
        <v>520</v>
      </c>
      <c r="D94" s="9" t="s">
        <v>367</v>
      </c>
      <c r="E94" s="9" t="s">
        <v>521</v>
      </c>
      <c r="F94" s="9" t="s">
        <v>83</v>
      </c>
      <c r="G94" s="9" t="s">
        <v>16</v>
      </c>
      <c r="H94" s="9" t="s">
        <v>49</v>
      </c>
      <c r="I94" s="9" t="s">
        <v>49</v>
      </c>
      <c r="J94" s="9" t="s">
        <v>48</v>
      </c>
      <c r="K94" s="9" t="s">
        <v>50</v>
      </c>
      <c r="L94" s="9" t="s">
        <v>522</v>
      </c>
      <c r="M94" s="9"/>
      <c r="N94" s="9" t="s">
        <v>523</v>
      </c>
      <c r="O94" s="9" t="s">
        <v>524</v>
      </c>
    </row>
    <row r="95" spans="1:15">
      <c r="A95" s="9" t="s">
        <v>5</v>
      </c>
      <c r="B95" s="9" t="s">
        <v>473</v>
      </c>
      <c r="C95" s="9" t="s">
        <v>525</v>
      </c>
      <c r="D95" s="9" t="s">
        <v>373</v>
      </c>
      <c r="E95" s="9" t="s">
        <v>526</v>
      </c>
      <c r="F95" s="9" t="s">
        <v>83</v>
      </c>
      <c r="G95" s="9" t="s">
        <v>16</v>
      </c>
      <c r="H95" s="9" t="s">
        <v>49</v>
      </c>
      <c r="I95" s="9" t="s">
        <v>49</v>
      </c>
      <c r="J95" s="9" t="s">
        <v>48</v>
      </c>
      <c r="K95" s="9" t="s">
        <v>50</v>
      </c>
      <c r="L95" s="9" t="s">
        <v>375</v>
      </c>
      <c r="M95" s="9"/>
      <c r="N95" s="9" t="s">
        <v>527</v>
      </c>
      <c r="O95" s="9" t="s">
        <v>528</v>
      </c>
    </row>
    <row r="96" spans="1:15">
      <c r="A96" s="9" t="s">
        <v>5</v>
      </c>
      <c r="B96" s="9" t="s">
        <v>473</v>
      </c>
      <c r="C96" s="9" t="s">
        <v>529</v>
      </c>
      <c r="D96" s="9" t="s">
        <v>379</v>
      </c>
      <c r="E96" s="9" t="s">
        <v>530</v>
      </c>
      <c r="F96" s="9" t="s">
        <v>83</v>
      </c>
      <c r="G96" s="9" t="s">
        <v>16</v>
      </c>
      <c r="H96" s="9" t="s">
        <v>49</v>
      </c>
      <c r="I96" s="9" t="s">
        <v>49</v>
      </c>
      <c r="J96" s="9" t="s">
        <v>48</v>
      </c>
      <c r="K96" s="9" t="s">
        <v>381</v>
      </c>
      <c r="L96" s="9" t="s">
        <v>382</v>
      </c>
      <c r="M96" s="9"/>
      <c r="N96" s="9" t="s">
        <v>383</v>
      </c>
      <c r="O96" s="9" t="s">
        <v>531</v>
      </c>
    </row>
    <row r="97" spans="1:15">
      <c r="A97" s="9" t="s">
        <v>5</v>
      </c>
      <c r="B97" s="9" t="s">
        <v>473</v>
      </c>
      <c r="C97" s="9" t="s">
        <v>385</v>
      </c>
      <c r="D97" s="9" t="s">
        <v>386</v>
      </c>
      <c r="E97" s="9" t="s">
        <v>532</v>
      </c>
      <c r="F97" s="9" t="s">
        <v>83</v>
      </c>
      <c r="G97" s="9" t="s">
        <v>16</v>
      </c>
      <c r="H97" s="9" t="s">
        <v>49</v>
      </c>
      <c r="I97" s="9" t="s">
        <v>49</v>
      </c>
      <c r="J97" s="9" t="s">
        <v>48</v>
      </c>
      <c r="K97" s="9" t="s">
        <v>50</v>
      </c>
      <c r="L97" s="9" t="s">
        <v>385</v>
      </c>
      <c r="M97" s="9"/>
      <c r="N97" s="9"/>
      <c r="O97" s="9" t="s">
        <v>533</v>
      </c>
    </row>
    <row r="98" spans="1:15">
      <c r="A98" s="9" t="s">
        <v>5</v>
      </c>
      <c r="B98" s="9" t="s">
        <v>473</v>
      </c>
      <c r="C98" s="9" t="s">
        <v>534</v>
      </c>
      <c r="D98" s="9" t="s">
        <v>390</v>
      </c>
      <c r="E98" s="9" t="s">
        <v>535</v>
      </c>
      <c r="F98" s="9" t="s">
        <v>47</v>
      </c>
      <c r="G98" s="9" t="s">
        <v>12</v>
      </c>
      <c r="H98" s="9" t="s">
        <v>49</v>
      </c>
      <c r="I98" s="9" t="s">
        <v>49</v>
      </c>
      <c r="J98" s="9" t="s">
        <v>48</v>
      </c>
      <c r="K98" s="9" t="s">
        <v>50</v>
      </c>
      <c r="L98" s="9" t="s">
        <v>363</v>
      </c>
      <c r="M98" s="9"/>
      <c r="N98" s="9" t="s">
        <v>536</v>
      </c>
      <c r="O98" s="9" t="s">
        <v>537</v>
      </c>
    </row>
    <row r="99" spans="1:15">
      <c r="A99" s="9" t="s">
        <v>5</v>
      </c>
      <c r="B99" s="9" t="s">
        <v>473</v>
      </c>
      <c r="C99" s="9" t="s">
        <v>394</v>
      </c>
      <c r="D99" s="9" t="s">
        <v>395</v>
      </c>
      <c r="E99" s="9" t="s">
        <v>538</v>
      </c>
      <c r="F99" s="9" t="s">
        <v>47</v>
      </c>
      <c r="G99" s="9" t="s">
        <v>10</v>
      </c>
      <c r="H99" s="9" t="s">
        <v>48</v>
      </c>
      <c r="I99" s="9" t="s">
        <v>49</v>
      </c>
      <c r="J99" s="9" t="s">
        <v>48</v>
      </c>
      <c r="K99" s="9" t="s">
        <v>381</v>
      </c>
      <c r="L99" s="9" t="s">
        <v>394</v>
      </c>
      <c r="M99" s="9"/>
      <c r="N99" s="9"/>
      <c r="O99" s="9" t="s">
        <v>539</v>
      </c>
    </row>
    <row r="100" spans="1:15">
      <c r="A100" s="9" t="s">
        <v>5</v>
      </c>
      <c r="B100" s="9" t="s">
        <v>473</v>
      </c>
      <c r="C100" s="9" t="s">
        <v>540</v>
      </c>
      <c r="D100" s="9" t="s">
        <v>399</v>
      </c>
      <c r="E100" s="9" t="s">
        <v>541</v>
      </c>
      <c r="F100" s="9" t="s">
        <v>47</v>
      </c>
      <c r="G100" s="9" t="s">
        <v>10</v>
      </c>
      <c r="H100" s="9" t="s">
        <v>48</v>
      </c>
      <c r="I100" s="9" t="s">
        <v>49</v>
      </c>
      <c r="J100" s="9" t="s">
        <v>48</v>
      </c>
      <c r="K100" s="9" t="s">
        <v>381</v>
      </c>
      <c r="L100" s="9" t="s">
        <v>401</v>
      </c>
      <c r="M100" s="9"/>
      <c r="N100" s="9" t="s">
        <v>542</v>
      </c>
      <c r="O100" s="9" t="s">
        <v>543</v>
      </c>
    </row>
    <row r="101" spans="1:15">
      <c r="A101" s="9" t="s">
        <v>5</v>
      </c>
      <c r="B101" s="9" t="s">
        <v>473</v>
      </c>
      <c r="C101" s="9" t="s">
        <v>544</v>
      </c>
      <c r="D101" s="9" t="s">
        <v>405</v>
      </c>
      <c r="E101" s="9" t="s">
        <v>545</v>
      </c>
      <c r="F101" s="9" t="s">
        <v>83</v>
      </c>
      <c r="G101" s="9" t="s">
        <v>16</v>
      </c>
      <c r="H101" s="9" t="s">
        <v>49</v>
      </c>
      <c r="I101" s="9" t="s">
        <v>49</v>
      </c>
      <c r="J101" s="9" t="s">
        <v>48</v>
      </c>
      <c r="K101" s="9" t="s">
        <v>50</v>
      </c>
      <c r="L101" s="9" t="s">
        <v>544</v>
      </c>
      <c r="M101" s="9"/>
      <c r="N101" s="9"/>
      <c r="O101" s="9" t="s">
        <v>546</v>
      </c>
    </row>
    <row r="102" spans="1:15">
      <c r="A102" s="9" t="s">
        <v>5</v>
      </c>
      <c r="B102" s="9" t="s">
        <v>473</v>
      </c>
      <c r="C102" s="9" t="s">
        <v>547</v>
      </c>
      <c r="D102" s="9" t="s">
        <v>410</v>
      </c>
      <c r="E102" s="9" t="s">
        <v>548</v>
      </c>
      <c r="F102" s="9" t="s">
        <v>47</v>
      </c>
      <c r="G102" s="9" t="s">
        <v>12</v>
      </c>
      <c r="H102" s="9" t="s">
        <v>49</v>
      </c>
      <c r="I102" s="9" t="s">
        <v>49</v>
      </c>
      <c r="J102" s="9" t="s">
        <v>48</v>
      </c>
      <c r="K102" s="9" t="s">
        <v>50</v>
      </c>
      <c r="L102" s="9" t="s">
        <v>549</v>
      </c>
      <c r="M102" s="9"/>
      <c r="N102" s="9" t="s">
        <v>495</v>
      </c>
      <c r="O102" s="9" t="s">
        <v>550</v>
      </c>
    </row>
    <row r="103" spans="1:15">
      <c r="A103" s="9" t="s">
        <v>5</v>
      </c>
      <c r="B103" s="9" t="s">
        <v>473</v>
      </c>
      <c r="C103" s="9" t="s">
        <v>415</v>
      </c>
      <c r="D103" s="9" t="s">
        <v>416</v>
      </c>
      <c r="E103" s="9" t="s">
        <v>551</v>
      </c>
      <c r="F103" s="9" t="s">
        <v>47</v>
      </c>
      <c r="G103" s="9" t="s">
        <v>12</v>
      </c>
      <c r="H103" s="9" t="s">
        <v>49</v>
      </c>
      <c r="I103" s="9" t="s">
        <v>49</v>
      </c>
      <c r="J103" s="9" t="s">
        <v>48</v>
      </c>
      <c r="K103" s="9" t="s">
        <v>418</v>
      </c>
      <c r="L103" s="9" t="s">
        <v>415</v>
      </c>
      <c r="M103" s="9"/>
      <c r="N103" s="9"/>
      <c r="O103" s="9" t="s">
        <v>552</v>
      </c>
    </row>
    <row r="104" spans="1:15">
      <c r="A104" s="9" t="s">
        <v>5</v>
      </c>
      <c r="B104" s="9" t="s">
        <v>473</v>
      </c>
      <c r="C104" s="9" t="s">
        <v>68</v>
      </c>
      <c r="D104" s="9" t="s">
        <v>68</v>
      </c>
      <c r="E104" s="9" t="s">
        <v>553</v>
      </c>
      <c r="F104" s="9" t="s">
        <v>47</v>
      </c>
      <c r="G104" s="9" t="s">
        <v>12</v>
      </c>
      <c r="H104" s="9" t="s">
        <v>49</v>
      </c>
      <c r="I104" s="9" t="s">
        <v>49</v>
      </c>
      <c r="J104" s="9" t="s">
        <v>48</v>
      </c>
      <c r="K104" s="9" t="s">
        <v>554</v>
      </c>
      <c r="L104" s="9" t="s">
        <v>555</v>
      </c>
      <c r="M104" s="9" t="s">
        <v>422</v>
      </c>
      <c r="N104" s="9"/>
      <c r="O104" s="9" t="s">
        <v>556</v>
      </c>
    </row>
    <row r="105" spans="1:15">
      <c r="A105" s="9" t="s">
        <v>5</v>
      </c>
      <c r="B105" s="9" t="s">
        <v>473</v>
      </c>
      <c r="C105" s="9" t="s">
        <v>424</v>
      </c>
      <c r="D105" s="9" t="s">
        <v>425</v>
      </c>
      <c r="E105" s="9" t="s">
        <v>557</v>
      </c>
      <c r="F105" s="9" t="s">
        <v>47</v>
      </c>
      <c r="G105" s="9" t="s">
        <v>10</v>
      </c>
      <c r="H105" s="9" t="s">
        <v>48</v>
      </c>
      <c r="I105" s="9" t="s">
        <v>49</v>
      </c>
      <c r="J105" s="9" t="s">
        <v>48</v>
      </c>
      <c r="K105" s="9" t="s">
        <v>50</v>
      </c>
      <c r="L105" s="9" t="s">
        <v>424</v>
      </c>
      <c r="M105" s="9"/>
      <c r="N105" s="9"/>
      <c r="O105" s="9" t="s">
        <v>558</v>
      </c>
    </row>
    <row r="106" spans="1:15">
      <c r="A106" s="9" t="s">
        <v>5</v>
      </c>
      <c r="B106" s="9" t="s">
        <v>473</v>
      </c>
      <c r="C106" s="9" t="s">
        <v>559</v>
      </c>
      <c r="D106" s="9" t="s">
        <v>429</v>
      </c>
      <c r="E106" s="9" t="s">
        <v>560</v>
      </c>
      <c r="F106" s="9" t="s">
        <v>47</v>
      </c>
      <c r="G106" s="9" t="s">
        <v>10</v>
      </c>
      <c r="H106" s="9" t="s">
        <v>48</v>
      </c>
      <c r="I106" s="9" t="s">
        <v>49</v>
      </c>
      <c r="J106" s="9" t="s">
        <v>48</v>
      </c>
      <c r="K106" s="9" t="s">
        <v>50</v>
      </c>
      <c r="L106" s="9" t="s">
        <v>561</v>
      </c>
      <c r="M106" s="9"/>
      <c r="N106" s="9" t="s">
        <v>562</v>
      </c>
      <c r="O106" s="9" t="s">
        <v>563</v>
      </c>
    </row>
    <row r="107" spans="1:15">
      <c r="A107" s="9" t="s">
        <v>5</v>
      </c>
      <c r="B107" s="9" t="s">
        <v>473</v>
      </c>
      <c r="C107" s="9" t="s">
        <v>564</v>
      </c>
      <c r="D107" s="9" t="s">
        <v>410</v>
      </c>
      <c r="E107" s="9" t="s">
        <v>565</v>
      </c>
      <c r="F107" s="9" t="s">
        <v>83</v>
      </c>
      <c r="G107" s="9" t="s">
        <v>16</v>
      </c>
      <c r="H107" s="9" t="s">
        <v>49</v>
      </c>
      <c r="I107" s="9" t="s">
        <v>49</v>
      </c>
      <c r="J107" s="9" t="s">
        <v>48</v>
      </c>
      <c r="K107" s="9" t="s">
        <v>50</v>
      </c>
      <c r="L107" s="9" t="s">
        <v>566</v>
      </c>
      <c r="M107" s="9"/>
      <c r="N107" s="9" t="s">
        <v>567</v>
      </c>
      <c r="O107" s="9" t="s">
        <v>568</v>
      </c>
    </row>
    <row r="108" spans="1:15">
      <c r="A108" s="9" t="s">
        <v>5</v>
      </c>
      <c r="B108" s="9" t="s">
        <v>473</v>
      </c>
      <c r="C108" s="9" t="s">
        <v>569</v>
      </c>
      <c r="D108" s="9" t="s">
        <v>241</v>
      </c>
      <c r="E108" s="9" t="s">
        <v>570</v>
      </c>
      <c r="F108" s="9" t="s">
        <v>243</v>
      </c>
      <c r="G108" s="9" t="s">
        <v>16</v>
      </c>
      <c r="H108" s="9" t="s">
        <v>49</v>
      </c>
      <c r="I108" s="9" t="s">
        <v>49</v>
      </c>
      <c r="J108" s="9" t="s">
        <v>48</v>
      </c>
      <c r="K108" s="9" t="s">
        <v>244</v>
      </c>
      <c r="L108" s="9" t="s">
        <v>571</v>
      </c>
      <c r="M108" s="9"/>
      <c r="N108" s="9" t="s">
        <v>572</v>
      </c>
      <c r="O108" s="9" t="s">
        <v>573</v>
      </c>
    </row>
    <row r="109" spans="1:15">
      <c r="A109" s="9" t="s">
        <v>5</v>
      </c>
      <c r="B109" s="9" t="s">
        <v>473</v>
      </c>
      <c r="C109" s="9" t="s">
        <v>574</v>
      </c>
      <c r="D109" s="9" t="s">
        <v>451</v>
      </c>
      <c r="E109" s="9" t="s">
        <v>575</v>
      </c>
      <c r="F109" s="9" t="s">
        <v>83</v>
      </c>
      <c r="G109" s="9" t="s">
        <v>16</v>
      </c>
      <c r="H109" s="9" t="s">
        <v>49</v>
      </c>
      <c r="I109" s="9" t="s">
        <v>49</v>
      </c>
      <c r="J109" s="9" t="s">
        <v>48</v>
      </c>
      <c r="K109" s="9" t="s">
        <v>50</v>
      </c>
      <c r="L109" s="9" t="s">
        <v>576</v>
      </c>
      <c r="M109" s="9"/>
      <c r="N109" s="9"/>
      <c r="O109" s="9" t="s">
        <v>577</v>
      </c>
    </row>
    <row r="110" spans="1:15">
      <c r="A110" s="9" t="s">
        <v>5</v>
      </c>
      <c r="B110" s="9" t="s">
        <v>473</v>
      </c>
      <c r="C110" s="9" t="s">
        <v>578</v>
      </c>
      <c r="D110" s="9" t="s">
        <v>344</v>
      </c>
      <c r="E110" s="9" t="s">
        <v>579</v>
      </c>
      <c r="F110" s="9" t="s">
        <v>83</v>
      </c>
      <c r="G110" s="9" t="s">
        <v>16</v>
      </c>
      <c r="H110" s="9" t="s">
        <v>49</v>
      </c>
      <c r="I110" s="9" t="s">
        <v>49</v>
      </c>
      <c r="J110" s="9" t="s">
        <v>48</v>
      </c>
      <c r="K110" s="9" t="s">
        <v>50</v>
      </c>
      <c r="L110" s="9" t="s">
        <v>457</v>
      </c>
      <c r="M110" s="9"/>
      <c r="N110" s="9" t="s">
        <v>580</v>
      </c>
      <c r="O110" s="9" t="s">
        <v>581</v>
      </c>
    </row>
    <row r="111" spans="1:15">
      <c r="A111" s="9" t="s">
        <v>5</v>
      </c>
      <c r="B111" s="9" t="s">
        <v>473</v>
      </c>
      <c r="C111" s="9" t="s">
        <v>582</v>
      </c>
      <c r="D111" s="9" t="s">
        <v>461</v>
      </c>
      <c r="E111" s="9" t="s">
        <v>583</v>
      </c>
      <c r="F111" s="9" t="s">
        <v>83</v>
      </c>
      <c r="G111" s="9" t="s">
        <v>16</v>
      </c>
      <c r="H111" s="9" t="s">
        <v>49</v>
      </c>
      <c r="I111" s="9" t="s">
        <v>49</v>
      </c>
      <c r="J111" s="9" t="s">
        <v>48</v>
      </c>
      <c r="K111" s="9" t="s">
        <v>50</v>
      </c>
      <c r="L111" s="9" t="s">
        <v>463</v>
      </c>
      <c r="M111" s="9"/>
      <c r="N111" s="9" t="s">
        <v>584</v>
      </c>
      <c r="O111" s="9" t="s">
        <v>585</v>
      </c>
    </row>
    <row r="112" spans="1:15">
      <c r="A112" s="9" t="s">
        <v>5</v>
      </c>
      <c r="B112" s="9" t="s">
        <v>473</v>
      </c>
      <c r="C112" s="9" t="s">
        <v>586</v>
      </c>
      <c r="D112" s="9" t="s">
        <v>467</v>
      </c>
      <c r="E112" s="9" t="s">
        <v>587</v>
      </c>
      <c r="F112" s="9" t="s">
        <v>83</v>
      </c>
      <c r="G112" s="9" t="s">
        <v>16</v>
      </c>
      <c r="H112" s="9" t="s">
        <v>49</v>
      </c>
      <c r="I112" s="9" t="s">
        <v>49</v>
      </c>
      <c r="J112" s="9" t="s">
        <v>48</v>
      </c>
      <c r="K112" s="9" t="s">
        <v>469</v>
      </c>
      <c r="L112" s="9" t="s">
        <v>470</v>
      </c>
      <c r="M112" s="9"/>
      <c r="N112" s="9" t="s">
        <v>588</v>
      </c>
      <c r="O112" s="9" t="s">
        <v>589</v>
      </c>
    </row>
    <row r="113" spans="1:15">
      <c r="A113" s="9" t="s">
        <v>5</v>
      </c>
      <c r="B113" s="9" t="s">
        <v>590</v>
      </c>
      <c r="C113" s="9" t="s">
        <v>591</v>
      </c>
      <c r="D113" s="9" t="s">
        <v>592</v>
      </c>
      <c r="E113" s="9" t="s">
        <v>593</v>
      </c>
      <c r="F113" s="9" t="s">
        <v>83</v>
      </c>
      <c r="G113" s="9" t="s">
        <v>14</v>
      </c>
      <c r="H113" s="9" t="s">
        <v>49</v>
      </c>
      <c r="I113" s="9" t="s">
        <v>49</v>
      </c>
      <c r="J113" s="9" t="s">
        <v>48</v>
      </c>
      <c r="K113" s="9" t="s">
        <v>128</v>
      </c>
      <c r="L113" s="9" t="s">
        <v>594</v>
      </c>
      <c r="M113" s="9"/>
      <c r="N113" s="9"/>
      <c r="O113" s="9" t="s">
        <v>595</v>
      </c>
    </row>
    <row r="114" spans="1:15">
      <c r="A114" s="9" t="s">
        <v>5</v>
      </c>
      <c r="B114" s="9" t="s">
        <v>590</v>
      </c>
      <c r="C114" s="9" t="s">
        <v>325</v>
      </c>
      <c r="D114" s="9" t="s">
        <v>326</v>
      </c>
      <c r="E114" s="9" t="s">
        <v>596</v>
      </c>
      <c r="F114" s="9" t="s">
        <v>83</v>
      </c>
      <c r="G114" s="9" t="s">
        <v>16</v>
      </c>
      <c r="H114" s="9" t="s">
        <v>49</v>
      </c>
      <c r="I114" s="9" t="s">
        <v>49</v>
      </c>
      <c r="J114" s="9" t="s">
        <v>48</v>
      </c>
      <c r="K114" s="9" t="s">
        <v>244</v>
      </c>
      <c r="L114" s="9" t="s">
        <v>325</v>
      </c>
      <c r="M114" s="9"/>
      <c r="N114" s="9"/>
      <c r="O114" s="9" t="s">
        <v>597</v>
      </c>
    </row>
    <row r="115" spans="1:15">
      <c r="A115" s="9" t="s">
        <v>5</v>
      </c>
      <c r="B115" s="9" t="s">
        <v>590</v>
      </c>
      <c r="C115" s="9" t="s">
        <v>598</v>
      </c>
      <c r="D115" s="9" t="s">
        <v>68</v>
      </c>
      <c r="E115" s="9" t="s">
        <v>599</v>
      </c>
      <c r="F115" s="9" t="s">
        <v>47</v>
      </c>
      <c r="G115" s="9" t="s">
        <v>12</v>
      </c>
      <c r="H115" s="9" t="s">
        <v>49</v>
      </c>
      <c r="I115" s="9" t="s">
        <v>49</v>
      </c>
      <c r="J115" s="9" t="s">
        <v>48</v>
      </c>
      <c r="K115" s="9" t="s">
        <v>50</v>
      </c>
      <c r="L115" s="9" t="s">
        <v>600</v>
      </c>
      <c r="M115" s="9"/>
      <c r="N115" s="9" t="s">
        <v>601</v>
      </c>
      <c r="O115" s="9" t="s">
        <v>602</v>
      </c>
    </row>
    <row r="116" spans="1:15">
      <c r="A116" s="9" t="s">
        <v>5</v>
      </c>
      <c r="B116" s="9" t="s">
        <v>590</v>
      </c>
      <c r="C116" s="9" t="s">
        <v>603</v>
      </c>
      <c r="D116" s="9" t="s">
        <v>241</v>
      </c>
      <c r="E116" s="9" t="s">
        <v>604</v>
      </c>
      <c r="F116" s="9" t="s">
        <v>243</v>
      </c>
      <c r="G116" s="9" t="s">
        <v>16</v>
      </c>
      <c r="H116" s="9" t="s">
        <v>49</v>
      </c>
      <c r="I116" s="9" t="s">
        <v>49</v>
      </c>
      <c r="J116" s="9" t="s">
        <v>48</v>
      </c>
      <c r="K116" s="9" t="s">
        <v>336</v>
      </c>
      <c r="L116" s="9" t="s">
        <v>605</v>
      </c>
      <c r="M116" s="9"/>
      <c r="N116" s="9" t="s">
        <v>606</v>
      </c>
      <c r="O116" s="9" t="s">
        <v>607</v>
      </c>
    </row>
    <row r="117" spans="1:15">
      <c r="A117" s="9" t="s">
        <v>5</v>
      </c>
      <c r="B117" s="9" t="s">
        <v>590</v>
      </c>
      <c r="C117" s="9" t="s">
        <v>339</v>
      </c>
      <c r="D117" s="9" t="s">
        <v>340</v>
      </c>
      <c r="E117" s="9" t="s">
        <v>608</v>
      </c>
      <c r="F117" s="9" t="s">
        <v>47</v>
      </c>
      <c r="G117" s="9" t="s">
        <v>12</v>
      </c>
      <c r="H117" s="9" t="s">
        <v>49</v>
      </c>
      <c r="I117" s="9" t="s">
        <v>49</v>
      </c>
      <c r="J117" s="9" t="s">
        <v>48</v>
      </c>
      <c r="K117" s="9" t="s">
        <v>50</v>
      </c>
      <c r="L117" s="9" t="s">
        <v>339</v>
      </c>
      <c r="M117" s="9"/>
      <c r="N117" s="9"/>
      <c r="O117" s="9" t="s">
        <v>609</v>
      </c>
    </row>
    <row r="118" spans="1:15">
      <c r="A118" s="9" t="s">
        <v>5</v>
      </c>
      <c r="B118" s="9" t="s">
        <v>590</v>
      </c>
      <c r="C118" s="9" t="s">
        <v>610</v>
      </c>
      <c r="D118" s="9" t="s">
        <v>344</v>
      </c>
      <c r="E118" s="9" t="s">
        <v>611</v>
      </c>
      <c r="F118" s="9" t="s">
        <v>47</v>
      </c>
      <c r="G118" s="9" t="s">
        <v>12</v>
      </c>
      <c r="H118" s="9" t="s">
        <v>49</v>
      </c>
      <c r="I118" s="9" t="s">
        <v>49</v>
      </c>
      <c r="J118" s="9" t="s">
        <v>48</v>
      </c>
      <c r="K118" s="9" t="s">
        <v>50</v>
      </c>
      <c r="L118" s="9" t="s">
        <v>612</v>
      </c>
      <c r="M118" s="9"/>
      <c r="N118" s="9" t="s">
        <v>613</v>
      </c>
      <c r="O118" s="9" t="s">
        <v>614</v>
      </c>
    </row>
    <row r="119" spans="1:15">
      <c r="A119" s="9" t="s">
        <v>5</v>
      </c>
      <c r="B119" s="9" t="s">
        <v>590</v>
      </c>
      <c r="C119" s="9" t="s">
        <v>424</v>
      </c>
      <c r="D119" s="9" t="s">
        <v>425</v>
      </c>
      <c r="E119" s="9" t="s">
        <v>615</v>
      </c>
      <c r="F119" s="9" t="s">
        <v>83</v>
      </c>
      <c r="G119" s="9" t="s">
        <v>16</v>
      </c>
      <c r="H119" s="9" t="s">
        <v>49</v>
      </c>
      <c r="I119" s="9" t="s">
        <v>49</v>
      </c>
      <c r="J119" s="9" t="s">
        <v>48</v>
      </c>
      <c r="K119" s="9" t="s">
        <v>50</v>
      </c>
      <c r="L119" s="9" t="s">
        <v>424</v>
      </c>
      <c r="M119" s="9"/>
      <c r="N119" s="9"/>
      <c r="O119" s="9" t="s">
        <v>616</v>
      </c>
    </row>
    <row r="120" spans="1:15">
      <c r="A120" s="9" t="s">
        <v>5</v>
      </c>
      <c r="B120" s="9" t="s">
        <v>590</v>
      </c>
      <c r="C120" s="9" t="s">
        <v>617</v>
      </c>
      <c r="D120" s="9" t="s">
        <v>410</v>
      </c>
      <c r="E120" s="9" t="s">
        <v>618</v>
      </c>
      <c r="F120" s="9" t="s">
        <v>47</v>
      </c>
      <c r="G120" s="9" t="s">
        <v>12</v>
      </c>
      <c r="H120" s="9" t="s">
        <v>49</v>
      </c>
      <c r="I120" s="9" t="s">
        <v>49</v>
      </c>
      <c r="J120" s="9" t="s">
        <v>48</v>
      </c>
      <c r="K120" s="9" t="s">
        <v>50</v>
      </c>
      <c r="L120" s="9" t="s">
        <v>619</v>
      </c>
      <c r="M120" s="9"/>
      <c r="N120" s="9" t="s">
        <v>601</v>
      </c>
      <c r="O120" s="9" t="s">
        <v>620</v>
      </c>
    </row>
    <row r="121" spans="1:15">
      <c r="A121" s="9" t="s">
        <v>5</v>
      </c>
      <c r="B121" s="9" t="s">
        <v>590</v>
      </c>
      <c r="C121" s="9" t="s">
        <v>621</v>
      </c>
      <c r="D121" s="9" t="s">
        <v>241</v>
      </c>
      <c r="E121" s="9" t="s">
        <v>622</v>
      </c>
      <c r="F121" s="9" t="s">
        <v>243</v>
      </c>
      <c r="G121" s="9" t="s">
        <v>16</v>
      </c>
      <c r="H121" s="9" t="s">
        <v>49</v>
      </c>
      <c r="I121" s="9" t="s">
        <v>49</v>
      </c>
      <c r="J121" s="9" t="s">
        <v>48</v>
      </c>
      <c r="K121" s="9" t="s">
        <v>244</v>
      </c>
      <c r="L121" s="9" t="s">
        <v>623</v>
      </c>
      <c r="M121" s="9"/>
      <c r="N121" s="9" t="s">
        <v>442</v>
      </c>
      <c r="O121" s="9" t="s">
        <v>624</v>
      </c>
    </row>
    <row r="122" spans="1:15">
      <c r="A122" s="9" t="s">
        <v>5</v>
      </c>
      <c r="B122" s="9" t="s">
        <v>625</v>
      </c>
      <c r="C122" s="9" t="s">
        <v>626</v>
      </c>
      <c r="D122" s="9" t="s">
        <v>627</v>
      </c>
      <c r="E122" s="9" t="s">
        <v>628</v>
      </c>
      <c r="F122" s="9" t="s">
        <v>83</v>
      </c>
      <c r="G122" s="9" t="s">
        <v>16</v>
      </c>
      <c r="H122" s="9" t="s">
        <v>49</v>
      </c>
      <c r="I122" s="9" t="s">
        <v>49</v>
      </c>
      <c r="J122" s="9" t="s">
        <v>48</v>
      </c>
      <c r="K122" s="9" t="s">
        <v>50</v>
      </c>
      <c r="L122" s="9" t="s">
        <v>629</v>
      </c>
      <c r="M122" s="9"/>
      <c r="N122" s="9"/>
      <c r="O122" s="9" t="s">
        <v>630</v>
      </c>
    </row>
    <row r="123" spans="1:15">
      <c r="A123" s="9" t="s">
        <v>5</v>
      </c>
      <c r="B123" s="9" t="s">
        <v>625</v>
      </c>
      <c r="C123" s="9" t="s">
        <v>339</v>
      </c>
      <c r="D123" s="9" t="s">
        <v>340</v>
      </c>
      <c r="E123" s="9" t="s">
        <v>631</v>
      </c>
      <c r="F123" s="9" t="s">
        <v>47</v>
      </c>
      <c r="G123" s="9" t="s">
        <v>12</v>
      </c>
      <c r="H123" s="9" t="s">
        <v>49</v>
      </c>
      <c r="I123" s="9" t="s">
        <v>49</v>
      </c>
      <c r="J123" s="9" t="s">
        <v>48</v>
      </c>
      <c r="K123" s="9" t="s">
        <v>50</v>
      </c>
      <c r="L123" s="9" t="s">
        <v>339</v>
      </c>
      <c r="M123" s="9"/>
      <c r="N123" s="9"/>
      <c r="O123" s="9" t="s">
        <v>632</v>
      </c>
    </row>
    <row r="124" spans="1:15">
      <c r="A124" s="9" t="s">
        <v>5</v>
      </c>
      <c r="B124" s="9" t="s">
        <v>625</v>
      </c>
      <c r="C124" s="9" t="s">
        <v>633</v>
      </c>
      <c r="D124" s="9" t="s">
        <v>344</v>
      </c>
      <c r="E124" s="9" t="s">
        <v>634</v>
      </c>
      <c r="F124" s="9" t="s">
        <v>47</v>
      </c>
      <c r="G124" s="9" t="s">
        <v>12</v>
      </c>
      <c r="H124" s="9" t="s">
        <v>49</v>
      </c>
      <c r="I124" s="9" t="s">
        <v>49</v>
      </c>
      <c r="J124" s="9" t="s">
        <v>48</v>
      </c>
      <c r="K124" s="9" t="s">
        <v>50</v>
      </c>
      <c r="L124" s="9" t="s">
        <v>635</v>
      </c>
      <c r="M124" s="9"/>
      <c r="N124" s="9" t="s">
        <v>636</v>
      </c>
      <c r="O124" s="9" t="s">
        <v>637</v>
      </c>
    </row>
    <row r="125" spans="1:15">
      <c r="A125" s="9" t="s">
        <v>5</v>
      </c>
      <c r="B125" s="9" t="s">
        <v>625</v>
      </c>
      <c r="C125" s="9" t="s">
        <v>638</v>
      </c>
      <c r="D125" s="9" t="s">
        <v>350</v>
      </c>
      <c r="E125" s="9" t="s">
        <v>639</v>
      </c>
      <c r="F125" s="9" t="s">
        <v>47</v>
      </c>
      <c r="G125" s="9" t="s">
        <v>12</v>
      </c>
      <c r="H125" s="9" t="s">
        <v>49</v>
      </c>
      <c r="I125" s="9" t="s">
        <v>49</v>
      </c>
      <c r="J125" s="9" t="s">
        <v>48</v>
      </c>
      <c r="K125" s="9" t="s">
        <v>50</v>
      </c>
      <c r="L125" s="9" t="s">
        <v>640</v>
      </c>
      <c r="M125" s="9"/>
      <c r="N125" s="9"/>
      <c r="O125" s="9" t="s">
        <v>641</v>
      </c>
    </row>
    <row r="126" spans="1:15">
      <c r="A126" s="9" t="s">
        <v>5</v>
      </c>
      <c r="B126" s="9" t="s">
        <v>625</v>
      </c>
      <c r="C126" s="9" t="s">
        <v>642</v>
      </c>
      <c r="D126" s="9" t="s">
        <v>355</v>
      </c>
      <c r="E126" s="9" t="s">
        <v>643</v>
      </c>
      <c r="F126" s="9" t="s">
        <v>83</v>
      </c>
      <c r="G126" s="9" t="s">
        <v>16</v>
      </c>
      <c r="H126" s="9" t="s">
        <v>49</v>
      </c>
      <c r="I126" s="9" t="s">
        <v>49</v>
      </c>
      <c r="J126" s="9" t="s">
        <v>48</v>
      </c>
      <c r="K126" s="9" t="s">
        <v>50</v>
      </c>
      <c r="L126" s="9" t="s">
        <v>357</v>
      </c>
      <c r="M126" s="9"/>
      <c r="N126" s="9" t="s">
        <v>644</v>
      </c>
      <c r="O126" s="9" t="s">
        <v>645</v>
      </c>
    </row>
    <row r="127" spans="1:15">
      <c r="A127" s="9" t="s">
        <v>5</v>
      </c>
      <c r="B127" s="9" t="s">
        <v>625</v>
      </c>
      <c r="C127" s="9" t="s">
        <v>646</v>
      </c>
      <c r="D127" s="9" t="s">
        <v>361</v>
      </c>
      <c r="E127" s="9" t="s">
        <v>647</v>
      </c>
      <c r="F127" s="9" t="s">
        <v>83</v>
      </c>
      <c r="G127" s="9" t="s">
        <v>16</v>
      </c>
      <c r="H127" s="9" t="s">
        <v>49</v>
      </c>
      <c r="I127" s="9" t="s">
        <v>49</v>
      </c>
      <c r="J127" s="9" t="s">
        <v>48</v>
      </c>
      <c r="K127" s="9" t="s">
        <v>50</v>
      </c>
      <c r="L127" s="9" t="s">
        <v>363</v>
      </c>
      <c r="M127" s="9"/>
      <c r="N127" s="9" t="s">
        <v>648</v>
      </c>
      <c r="O127" s="9" t="s">
        <v>649</v>
      </c>
    </row>
    <row r="128" spans="1:15">
      <c r="A128" s="9" t="s">
        <v>5</v>
      </c>
      <c r="B128" s="9" t="s">
        <v>625</v>
      </c>
      <c r="C128" s="9" t="s">
        <v>650</v>
      </c>
      <c r="D128" s="9" t="s">
        <v>367</v>
      </c>
      <c r="E128" s="9" t="s">
        <v>651</v>
      </c>
      <c r="F128" s="9" t="s">
        <v>83</v>
      </c>
      <c r="G128" s="9" t="s">
        <v>16</v>
      </c>
      <c r="H128" s="9" t="s">
        <v>49</v>
      </c>
      <c r="I128" s="9" t="s">
        <v>49</v>
      </c>
      <c r="J128" s="9" t="s">
        <v>48</v>
      </c>
      <c r="K128" s="9" t="s">
        <v>50</v>
      </c>
      <c r="L128" s="9" t="s">
        <v>652</v>
      </c>
      <c r="M128" s="9"/>
      <c r="N128" s="9" t="s">
        <v>653</v>
      </c>
      <c r="O128" s="9" t="s">
        <v>654</v>
      </c>
    </row>
    <row r="129" spans="1:15">
      <c r="A129" s="9" t="s">
        <v>5</v>
      </c>
      <c r="B129" s="9" t="s">
        <v>625</v>
      </c>
      <c r="C129" s="9" t="s">
        <v>655</v>
      </c>
      <c r="D129" s="9" t="s">
        <v>373</v>
      </c>
      <c r="E129" s="9" t="s">
        <v>656</v>
      </c>
      <c r="F129" s="9" t="s">
        <v>83</v>
      </c>
      <c r="G129" s="9" t="s">
        <v>16</v>
      </c>
      <c r="H129" s="9" t="s">
        <v>49</v>
      </c>
      <c r="I129" s="9" t="s">
        <v>49</v>
      </c>
      <c r="J129" s="9" t="s">
        <v>48</v>
      </c>
      <c r="K129" s="9" t="s">
        <v>50</v>
      </c>
      <c r="L129" s="9" t="s">
        <v>375</v>
      </c>
      <c r="M129" s="9"/>
      <c r="N129" s="9" t="s">
        <v>657</v>
      </c>
      <c r="O129" s="9" t="s">
        <v>658</v>
      </c>
    </row>
    <row r="130" spans="1:15">
      <c r="A130" s="9" t="s">
        <v>5</v>
      </c>
      <c r="B130" s="9" t="s">
        <v>625</v>
      </c>
      <c r="C130" s="9" t="s">
        <v>659</v>
      </c>
      <c r="D130" s="9" t="s">
        <v>379</v>
      </c>
      <c r="E130" s="9" t="s">
        <v>660</v>
      </c>
      <c r="F130" s="9" t="s">
        <v>83</v>
      </c>
      <c r="G130" s="9" t="s">
        <v>16</v>
      </c>
      <c r="H130" s="9" t="s">
        <v>49</v>
      </c>
      <c r="I130" s="9" t="s">
        <v>49</v>
      </c>
      <c r="J130" s="9" t="s">
        <v>48</v>
      </c>
      <c r="K130" s="9" t="s">
        <v>381</v>
      </c>
      <c r="L130" s="9" t="s">
        <v>382</v>
      </c>
      <c r="M130" s="9"/>
      <c r="N130" s="9" t="s">
        <v>661</v>
      </c>
      <c r="O130" s="9" t="s">
        <v>662</v>
      </c>
    </row>
    <row r="131" spans="1:15">
      <c r="A131" s="9" t="s">
        <v>5</v>
      </c>
      <c r="B131" s="9" t="s">
        <v>625</v>
      </c>
      <c r="C131" s="9" t="s">
        <v>385</v>
      </c>
      <c r="D131" s="9" t="s">
        <v>386</v>
      </c>
      <c r="E131" s="9" t="s">
        <v>663</v>
      </c>
      <c r="F131" s="9" t="s">
        <v>83</v>
      </c>
      <c r="G131" s="9" t="s">
        <v>16</v>
      </c>
      <c r="H131" s="9" t="s">
        <v>49</v>
      </c>
      <c r="I131" s="9" t="s">
        <v>49</v>
      </c>
      <c r="J131" s="9" t="s">
        <v>48</v>
      </c>
      <c r="K131" s="9" t="s">
        <v>50</v>
      </c>
      <c r="L131" s="9" t="s">
        <v>385</v>
      </c>
      <c r="M131" s="9"/>
      <c r="N131" s="9"/>
      <c r="O131" s="9" t="s">
        <v>664</v>
      </c>
    </row>
    <row r="132" spans="1:15">
      <c r="A132" s="9" t="s">
        <v>5</v>
      </c>
      <c r="B132" s="9" t="s">
        <v>625</v>
      </c>
      <c r="C132" s="9" t="s">
        <v>665</v>
      </c>
      <c r="D132" s="9" t="s">
        <v>390</v>
      </c>
      <c r="E132" s="9" t="s">
        <v>666</v>
      </c>
      <c r="F132" s="9" t="s">
        <v>47</v>
      </c>
      <c r="G132" s="9" t="s">
        <v>12</v>
      </c>
      <c r="H132" s="9" t="s">
        <v>49</v>
      </c>
      <c r="I132" s="9" t="s">
        <v>49</v>
      </c>
      <c r="J132" s="9" t="s">
        <v>48</v>
      </c>
      <c r="K132" s="9" t="s">
        <v>50</v>
      </c>
      <c r="L132" s="9" t="s">
        <v>363</v>
      </c>
      <c r="M132" s="9"/>
      <c r="N132" s="9" t="s">
        <v>667</v>
      </c>
      <c r="O132" s="9" t="s">
        <v>668</v>
      </c>
    </row>
    <row r="133" spans="1:15">
      <c r="A133" s="9" t="s">
        <v>5</v>
      </c>
      <c r="B133" s="9" t="s">
        <v>625</v>
      </c>
      <c r="C133" s="9" t="s">
        <v>394</v>
      </c>
      <c r="D133" s="9" t="s">
        <v>395</v>
      </c>
      <c r="E133" s="9" t="s">
        <v>669</v>
      </c>
      <c r="F133" s="9" t="s">
        <v>47</v>
      </c>
      <c r="G133" s="9" t="s">
        <v>12</v>
      </c>
      <c r="H133" s="9" t="s">
        <v>49</v>
      </c>
      <c r="I133" s="9" t="s">
        <v>49</v>
      </c>
      <c r="J133" s="9" t="s">
        <v>48</v>
      </c>
      <c r="K133" s="9" t="s">
        <v>381</v>
      </c>
      <c r="L133" s="9" t="s">
        <v>394</v>
      </c>
      <c r="M133" s="9"/>
      <c r="N133" s="9"/>
      <c r="O133" s="9" t="s">
        <v>670</v>
      </c>
    </row>
    <row r="134" spans="1:15">
      <c r="A134" s="9" t="s">
        <v>5</v>
      </c>
      <c r="B134" s="9" t="s">
        <v>625</v>
      </c>
      <c r="C134" s="9" t="s">
        <v>671</v>
      </c>
      <c r="D134" s="9" t="s">
        <v>399</v>
      </c>
      <c r="E134" s="9" t="s">
        <v>672</v>
      </c>
      <c r="F134" s="9" t="s">
        <v>47</v>
      </c>
      <c r="G134" s="9" t="s">
        <v>12</v>
      </c>
      <c r="H134" s="9" t="s">
        <v>49</v>
      </c>
      <c r="I134" s="9" t="s">
        <v>49</v>
      </c>
      <c r="J134" s="9" t="s">
        <v>48</v>
      </c>
      <c r="K134" s="9" t="s">
        <v>381</v>
      </c>
      <c r="L134" s="9" t="s">
        <v>401</v>
      </c>
      <c r="M134" s="9"/>
      <c r="N134" s="9" t="s">
        <v>542</v>
      </c>
      <c r="O134" s="9" t="s">
        <v>673</v>
      </c>
    </row>
    <row r="135" spans="1:15">
      <c r="A135" s="9" t="s">
        <v>5</v>
      </c>
      <c r="B135" s="9" t="s">
        <v>625</v>
      </c>
      <c r="C135" s="9" t="s">
        <v>544</v>
      </c>
      <c r="D135" s="9" t="s">
        <v>405</v>
      </c>
      <c r="E135" s="9" t="s">
        <v>674</v>
      </c>
      <c r="F135" s="9" t="s">
        <v>47</v>
      </c>
      <c r="G135" s="9" t="s">
        <v>12</v>
      </c>
      <c r="H135" s="9" t="s">
        <v>49</v>
      </c>
      <c r="I135" s="9" t="s">
        <v>49</v>
      </c>
      <c r="J135" s="9" t="s">
        <v>48</v>
      </c>
      <c r="K135" s="9" t="s">
        <v>50</v>
      </c>
      <c r="L135" s="9" t="s">
        <v>544</v>
      </c>
      <c r="M135" s="9"/>
      <c r="N135" s="9"/>
      <c r="O135" s="9" t="s">
        <v>675</v>
      </c>
    </row>
    <row r="136" spans="1:15">
      <c r="A136" s="9" t="s">
        <v>5</v>
      </c>
      <c r="B136" s="9" t="s">
        <v>625</v>
      </c>
      <c r="C136" s="9" t="s">
        <v>676</v>
      </c>
      <c r="D136" s="9" t="s">
        <v>410</v>
      </c>
      <c r="E136" s="9" t="s">
        <v>677</v>
      </c>
      <c r="F136" s="9" t="s">
        <v>47</v>
      </c>
      <c r="G136" s="9" t="s">
        <v>12</v>
      </c>
      <c r="H136" s="9" t="s">
        <v>49</v>
      </c>
      <c r="I136" s="9" t="s">
        <v>49</v>
      </c>
      <c r="J136" s="9" t="s">
        <v>48</v>
      </c>
      <c r="K136" s="9" t="s">
        <v>50</v>
      </c>
      <c r="L136" s="9" t="s">
        <v>678</v>
      </c>
      <c r="M136" s="9"/>
      <c r="N136" s="9" t="s">
        <v>601</v>
      </c>
      <c r="O136" s="9" t="s">
        <v>679</v>
      </c>
    </row>
    <row r="137" spans="1:15">
      <c r="A137" s="9" t="s">
        <v>5</v>
      </c>
      <c r="B137" s="9" t="s">
        <v>625</v>
      </c>
      <c r="C137" s="9" t="s">
        <v>415</v>
      </c>
      <c r="D137" s="9" t="s">
        <v>416</v>
      </c>
      <c r="E137" s="9" t="s">
        <v>680</v>
      </c>
      <c r="F137" s="9" t="s">
        <v>47</v>
      </c>
      <c r="G137" s="9" t="s">
        <v>12</v>
      </c>
      <c r="H137" s="9" t="s">
        <v>49</v>
      </c>
      <c r="I137" s="9" t="s">
        <v>49</v>
      </c>
      <c r="J137" s="9" t="s">
        <v>48</v>
      </c>
      <c r="K137" s="9" t="s">
        <v>418</v>
      </c>
      <c r="L137" s="9" t="s">
        <v>415</v>
      </c>
      <c r="M137" s="9"/>
      <c r="N137" s="9"/>
      <c r="O137" s="9" t="s">
        <v>681</v>
      </c>
    </row>
    <row r="138" spans="1:15">
      <c r="A138" s="9" t="s">
        <v>5</v>
      </c>
      <c r="B138" s="9" t="s">
        <v>625</v>
      </c>
      <c r="C138" s="9" t="s">
        <v>68</v>
      </c>
      <c r="D138" s="9" t="s">
        <v>68</v>
      </c>
      <c r="E138" s="9" t="s">
        <v>682</v>
      </c>
      <c r="F138" s="9" t="s">
        <v>47</v>
      </c>
      <c r="G138" s="9" t="s">
        <v>12</v>
      </c>
      <c r="H138" s="9" t="s">
        <v>49</v>
      </c>
      <c r="I138" s="9" t="s">
        <v>49</v>
      </c>
      <c r="J138" s="9" t="s">
        <v>48</v>
      </c>
      <c r="K138" s="9" t="s">
        <v>554</v>
      </c>
      <c r="L138" s="9" t="s">
        <v>555</v>
      </c>
      <c r="M138" s="9" t="s">
        <v>422</v>
      </c>
      <c r="N138" s="9"/>
      <c r="O138" s="9" t="s">
        <v>683</v>
      </c>
    </row>
    <row r="139" spans="1:15">
      <c r="A139" s="9" t="s">
        <v>5</v>
      </c>
      <c r="B139" s="9" t="s">
        <v>684</v>
      </c>
      <c r="C139" s="9" t="s">
        <v>685</v>
      </c>
      <c r="D139" s="9" t="s">
        <v>686</v>
      </c>
      <c r="E139" s="9" t="s">
        <v>687</v>
      </c>
      <c r="F139" s="9" t="s">
        <v>83</v>
      </c>
      <c r="G139" s="9" t="s">
        <v>16</v>
      </c>
      <c r="H139" s="9" t="s">
        <v>49</v>
      </c>
      <c r="I139" s="9" t="s">
        <v>49</v>
      </c>
      <c r="J139" s="9" t="s">
        <v>48</v>
      </c>
      <c r="K139" s="9" t="s">
        <v>50</v>
      </c>
      <c r="L139" s="9" t="s">
        <v>688</v>
      </c>
      <c r="M139" s="9"/>
      <c r="N139" s="9"/>
      <c r="O139" s="9" t="s">
        <v>689</v>
      </c>
    </row>
    <row r="140" spans="1:15">
      <c r="A140" s="9" t="s">
        <v>5</v>
      </c>
      <c r="B140" s="9" t="s">
        <v>684</v>
      </c>
      <c r="C140" s="9" t="s">
        <v>690</v>
      </c>
      <c r="D140" s="9" t="s">
        <v>691</v>
      </c>
      <c r="E140" s="9" t="s">
        <v>692</v>
      </c>
      <c r="F140" s="9" t="s">
        <v>83</v>
      </c>
      <c r="G140" s="9" t="s">
        <v>16</v>
      </c>
      <c r="H140" s="9" t="s">
        <v>49</v>
      </c>
      <c r="I140" s="9" t="s">
        <v>49</v>
      </c>
      <c r="J140" s="9" t="s">
        <v>48</v>
      </c>
      <c r="K140" s="9" t="s">
        <v>76</v>
      </c>
      <c r="L140" s="9" t="s">
        <v>693</v>
      </c>
      <c r="M140" s="9"/>
      <c r="N140" s="9" t="s">
        <v>694</v>
      </c>
      <c r="O140" s="9" t="s">
        <v>695</v>
      </c>
    </row>
    <row r="141" spans="1:15">
      <c r="A141" s="9" t="s">
        <v>5</v>
      </c>
      <c r="B141" s="9" t="s">
        <v>684</v>
      </c>
      <c r="C141" s="9" t="s">
        <v>696</v>
      </c>
      <c r="D141" s="9" t="s">
        <v>696</v>
      </c>
      <c r="E141" s="9" t="s">
        <v>697</v>
      </c>
      <c r="F141" s="9" t="s">
        <v>83</v>
      </c>
      <c r="G141" s="9" t="s">
        <v>16</v>
      </c>
      <c r="H141" s="9" t="s">
        <v>49</v>
      </c>
      <c r="I141" s="9" t="s">
        <v>49</v>
      </c>
      <c r="J141" s="9" t="s">
        <v>48</v>
      </c>
      <c r="K141" s="9" t="s">
        <v>50</v>
      </c>
      <c r="L141" s="9"/>
      <c r="M141" s="9"/>
      <c r="N141" s="9"/>
      <c r="O141" s="9" t="s">
        <v>698</v>
      </c>
    </row>
    <row r="142" spans="1:15">
      <c r="A142" s="9" t="s">
        <v>5</v>
      </c>
      <c r="B142" s="9" t="s">
        <v>684</v>
      </c>
      <c r="C142" s="9" t="s">
        <v>699</v>
      </c>
      <c r="D142" s="9" t="s">
        <v>68</v>
      </c>
      <c r="E142" s="9" t="s">
        <v>700</v>
      </c>
      <c r="F142" s="9" t="s">
        <v>83</v>
      </c>
      <c r="G142" s="9" t="s">
        <v>16</v>
      </c>
      <c r="H142" s="9" t="s">
        <v>49</v>
      </c>
      <c r="I142" s="9" t="s">
        <v>49</v>
      </c>
      <c r="J142" s="9" t="s">
        <v>48</v>
      </c>
      <c r="K142" s="9" t="s">
        <v>50</v>
      </c>
      <c r="L142" s="9" t="s">
        <v>701</v>
      </c>
      <c r="M142" s="9"/>
      <c r="N142" s="9" t="s">
        <v>702</v>
      </c>
      <c r="O142" s="9" t="s">
        <v>703</v>
      </c>
    </row>
    <row r="143" spans="1:15">
      <c r="A143" s="9" t="s">
        <v>5</v>
      </c>
      <c r="B143" s="9" t="s">
        <v>684</v>
      </c>
      <c r="C143" s="9" t="s">
        <v>704</v>
      </c>
      <c r="D143" s="9" t="s">
        <v>241</v>
      </c>
      <c r="E143" s="9" t="s">
        <v>705</v>
      </c>
      <c r="F143" s="9" t="s">
        <v>243</v>
      </c>
      <c r="G143" s="9" t="s">
        <v>16</v>
      </c>
      <c r="H143" s="9" t="s">
        <v>49</v>
      </c>
      <c r="I143" s="9" t="s">
        <v>49</v>
      </c>
      <c r="J143" s="9" t="s">
        <v>48</v>
      </c>
      <c r="K143" s="9" t="s">
        <v>244</v>
      </c>
      <c r="L143" s="9" t="s">
        <v>706</v>
      </c>
      <c r="M143" s="9"/>
      <c r="N143" s="9" t="s">
        <v>323</v>
      </c>
      <c r="O143" s="9" t="s">
        <v>707</v>
      </c>
    </row>
    <row r="144" spans="1:15">
      <c r="A144" s="9" t="s">
        <v>5</v>
      </c>
      <c r="B144" s="9" t="s">
        <v>684</v>
      </c>
      <c r="C144" s="9" t="s">
        <v>708</v>
      </c>
      <c r="D144" s="9" t="s">
        <v>709</v>
      </c>
      <c r="E144" s="9" t="s">
        <v>710</v>
      </c>
      <c r="F144" s="9" t="s">
        <v>83</v>
      </c>
      <c r="G144" s="9" t="s">
        <v>16</v>
      </c>
      <c r="H144" s="9" t="s">
        <v>49</v>
      </c>
      <c r="I144" s="9" t="s">
        <v>49</v>
      </c>
      <c r="J144" s="9" t="s">
        <v>48</v>
      </c>
      <c r="K144" s="9" t="s">
        <v>50</v>
      </c>
      <c r="L144" s="9" t="s">
        <v>711</v>
      </c>
      <c r="M144" s="9"/>
      <c r="N144" s="9"/>
      <c r="O144" s="9" t="s">
        <v>712</v>
      </c>
    </row>
    <row r="145" spans="1:15">
      <c r="A145" s="9" t="s">
        <v>5</v>
      </c>
      <c r="B145" s="9" t="s">
        <v>684</v>
      </c>
      <c r="C145" s="9" t="s">
        <v>713</v>
      </c>
      <c r="D145" s="9" t="s">
        <v>355</v>
      </c>
      <c r="E145" s="9" t="s">
        <v>714</v>
      </c>
      <c r="F145" s="9" t="s">
        <v>83</v>
      </c>
      <c r="G145" s="9" t="s">
        <v>16</v>
      </c>
      <c r="H145" s="9" t="s">
        <v>49</v>
      </c>
      <c r="I145" s="9" t="s">
        <v>49</v>
      </c>
      <c r="J145" s="9" t="s">
        <v>48</v>
      </c>
      <c r="K145" s="9" t="s">
        <v>50</v>
      </c>
      <c r="L145" s="9" t="s">
        <v>357</v>
      </c>
      <c r="M145" s="9"/>
      <c r="N145" s="9" t="s">
        <v>715</v>
      </c>
      <c r="O145" s="9" t="s">
        <v>716</v>
      </c>
    </row>
    <row r="146" spans="1:15">
      <c r="A146" s="9" t="s">
        <v>5</v>
      </c>
      <c r="B146" s="9" t="s">
        <v>684</v>
      </c>
      <c r="C146" s="9" t="s">
        <v>717</v>
      </c>
      <c r="D146" s="9" t="s">
        <v>361</v>
      </c>
      <c r="E146" s="9" t="s">
        <v>718</v>
      </c>
      <c r="F146" s="9" t="s">
        <v>83</v>
      </c>
      <c r="G146" s="9" t="s">
        <v>16</v>
      </c>
      <c r="H146" s="9" t="s">
        <v>49</v>
      </c>
      <c r="I146" s="9" t="s">
        <v>49</v>
      </c>
      <c r="J146" s="9" t="s">
        <v>48</v>
      </c>
      <c r="K146" s="9" t="s">
        <v>50</v>
      </c>
      <c r="L146" s="9" t="s">
        <v>363</v>
      </c>
      <c r="M146" s="9"/>
      <c r="N146" s="9" t="s">
        <v>719</v>
      </c>
      <c r="O146" s="9" t="s">
        <v>720</v>
      </c>
    </row>
    <row r="147" spans="1:15">
      <c r="A147" s="9" t="s">
        <v>5</v>
      </c>
      <c r="B147" s="9" t="s">
        <v>684</v>
      </c>
      <c r="C147" s="9" t="s">
        <v>721</v>
      </c>
      <c r="D147" s="9" t="s">
        <v>367</v>
      </c>
      <c r="E147" s="9" t="s">
        <v>722</v>
      </c>
      <c r="F147" s="9" t="s">
        <v>83</v>
      </c>
      <c r="G147" s="9" t="s">
        <v>16</v>
      </c>
      <c r="H147" s="9" t="s">
        <v>49</v>
      </c>
      <c r="I147" s="9" t="s">
        <v>49</v>
      </c>
      <c r="J147" s="9" t="s">
        <v>48</v>
      </c>
      <c r="K147" s="9" t="s">
        <v>50</v>
      </c>
      <c r="L147" s="9" t="s">
        <v>723</v>
      </c>
      <c r="M147" s="9"/>
      <c r="N147" s="9" t="s">
        <v>724</v>
      </c>
      <c r="O147" s="9" t="s">
        <v>725</v>
      </c>
    </row>
    <row r="148" spans="1:15">
      <c r="A148" s="9" t="s">
        <v>5</v>
      </c>
      <c r="B148" s="9" t="s">
        <v>684</v>
      </c>
      <c r="C148" s="9" t="s">
        <v>726</v>
      </c>
      <c r="D148" s="9" t="s">
        <v>373</v>
      </c>
      <c r="E148" s="9" t="s">
        <v>727</v>
      </c>
      <c r="F148" s="9" t="s">
        <v>83</v>
      </c>
      <c r="G148" s="9" t="s">
        <v>16</v>
      </c>
      <c r="H148" s="9" t="s">
        <v>49</v>
      </c>
      <c r="I148" s="9" t="s">
        <v>49</v>
      </c>
      <c r="J148" s="9" t="s">
        <v>48</v>
      </c>
      <c r="K148" s="9" t="s">
        <v>50</v>
      </c>
      <c r="L148" s="9" t="s">
        <v>375</v>
      </c>
      <c r="M148" s="9"/>
      <c r="N148" s="9" t="s">
        <v>728</v>
      </c>
      <c r="O148" s="9" t="s">
        <v>729</v>
      </c>
    </row>
    <row r="149" spans="1:15">
      <c r="A149" s="9" t="s">
        <v>5</v>
      </c>
      <c r="B149" s="9" t="s">
        <v>684</v>
      </c>
      <c r="C149" s="9" t="s">
        <v>730</v>
      </c>
      <c r="D149" s="9" t="s">
        <v>379</v>
      </c>
      <c r="E149" s="9" t="s">
        <v>731</v>
      </c>
      <c r="F149" s="9" t="s">
        <v>83</v>
      </c>
      <c r="G149" s="9" t="s">
        <v>16</v>
      </c>
      <c r="H149" s="9" t="s">
        <v>49</v>
      </c>
      <c r="I149" s="9" t="s">
        <v>49</v>
      </c>
      <c r="J149" s="9" t="s">
        <v>48</v>
      </c>
      <c r="K149" s="9" t="s">
        <v>381</v>
      </c>
      <c r="L149" s="9" t="s">
        <v>382</v>
      </c>
      <c r="M149" s="9"/>
      <c r="N149" s="9" t="s">
        <v>732</v>
      </c>
      <c r="O149" s="9" t="s">
        <v>733</v>
      </c>
    </row>
    <row r="150" spans="1:15">
      <c r="A150" s="9" t="s">
        <v>5</v>
      </c>
      <c r="B150" s="9" t="s">
        <v>684</v>
      </c>
      <c r="C150" s="9" t="s">
        <v>385</v>
      </c>
      <c r="D150" s="9" t="s">
        <v>386</v>
      </c>
      <c r="E150" s="9" t="s">
        <v>734</v>
      </c>
      <c r="F150" s="9" t="s">
        <v>83</v>
      </c>
      <c r="G150" s="9" t="s">
        <v>16</v>
      </c>
      <c r="H150" s="9" t="s">
        <v>49</v>
      </c>
      <c r="I150" s="9" t="s">
        <v>49</v>
      </c>
      <c r="J150" s="9" t="s">
        <v>48</v>
      </c>
      <c r="K150" s="9" t="s">
        <v>50</v>
      </c>
      <c r="L150" s="9" t="s">
        <v>385</v>
      </c>
      <c r="M150" s="9"/>
      <c r="N150" s="9"/>
      <c r="O150" s="9" t="s">
        <v>735</v>
      </c>
    </row>
    <row r="151" spans="1:15">
      <c r="A151" s="9" t="s">
        <v>5</v>
      </c>
      <c r="B151" s="9" t="s">
        <v>684</v>
      </c>
      <c r="C151" s="9" t="s">
        <v>736</v>
      </c>
      <c r="D151" s="9" t="s">
        <v>390</v>
      </c>
      <c r="E151" s="9" t="s">
        <v>737</v>
      </c>
      <c r="F151" s="9" t="s">
        <v>47</v>
      </c>
      <c r="G151" s="9" t="s">
        <v>12</v>
      </c>
      <c r="H151" s="9" t="s">
        <v>49</v>
      </c>
      <c r="I151" s="9" t="s">
        <v>49</v>
      </c>
      <c r="J151" s="9" t="s">
        <v>48</v>
      </c>
      <c r="K151" s="9" t="s">
        <v>50</v>
      </c>
      <c r="L151" s="9" t="s">
        <v>363</v>
      </c>
      <c r="M151" s="9"/>
      <c r="N151" s="9" t="s">
        <v>738</v>
      </c>
      <c r="O151" s="9" t="s">
        <v>739</v>
      </c>
    </row>
    <row r="152" spans="1:15">
      <c r="A152" s="9" t="s">
        <v>5</v>
      </c>
      <c r="B152" s="9" t="s">
        <v>684</v>
      </c>
      <c r="C152" s="9" t="s">
        <v>394</v>
      </c>
      <c r="D152" s="9" t="s">
        <v>395</v>
      </c>
      <c r="E152" s="9" t="s">
        <v>740</v>
      </c>
      <c r="F152" s="9" t="s">
        <v>47</v>
      </c>
      <c r="G152" s="9" t="s">
        <v>12</v>
      </c>
      <c r="H152" s="9" t="s">
        <v>49</v>
      </c>
      <c r="I152" s="9" t="s">
        <v>49</v>
      </c>
      <c r="J152" s="9" t="s">
        <v>48</v>
      </c>
      <c r="K152" s="9" t="s">
        <v>381</v>
      </c>
      <c r="L152" s="9" t="s">
        <v>394</v>
      </c>
      <c r="M152" s="9"/>
      <c r="N152" s="9"/>
      <c r="O152" s="9" t="s">
        <v>741</v>
      </c>
    </row>
    <row r="153" spans="1:15">
      <c r="A153" s="9" t="s">
        <v>5</v>
      </c>
      <c r="B153" s="9" t="s">
        <v>684</v>
      </c>
      <c r="C153" s="9" t="s">
        <v>742</v>
      </c>
      <c r="D153" s="9" t="s">
        <v>399</v>
      </c>
      <c r="E153" s="9" t="s">
        <v>743</v>
      </c>
      <c r="F153" s="9" t="s">
        <v>47</v>
      </c>
      <c r="G153" s="9" t="s">
        <v>12</v>
      </c>
      <c r="H153" s="9" t="s">
        <v>49</v>
      </c>
      <c r="I153" s="9" t="s">
        <v>49</v>
      </c>
      <c r="J153" s="9" t="s">
        <v>48</v>
      </c>
      <c r="K153" s="9" t="s">
        <v>381</v>
      </c>
      <c r="L153" s="9" t="s">
        <v>401</v>
      </c>
      <c r="M153" s="9"/>
      <c r="N153" s="9" t="s">
        <v>542</v>
      </c>
      <c r="O153" s="9" t="s">
        <v>744</v>
      </c>
    </row>
    <row r="154" spans="1:15">
      <c r="A154" s="9" t="s">
        <v>5</v>
      </c>
      <c r="B154" s="9" t="s">
        <v>684</v>
      </c>
      <c r="C154" s="9" t="s">
        <v>745</v>
      </c>
      <c r="D154" s="9" t="s">
        <v>746</v>
      </c>
      <c r="E154" s="9" t="s">
        <v>747</v>
      </c>
      <c r="F154" s="9" t="s">
        <v>83</v>
      </c>
      <c r="G154" s="9" t="s">
        <v>16</v>
      </c>
      <c r="H154" s="9" t="s">
        <v>49</v>
      </c>
      <c r="I154" s="9" t="s">
        <v>49</v>
      </c>
      <c r="J154" s="9" t="s">
        <v>48</v>
      </c>
      <c r="K154" s="9" t="s">
        <v>50</v>
      </c>
      <c r="L154" s="9" t="s">
        <v>745</v>
      </c>
      <c r="M154" s="9"/>
      <c r="N154" s="9"/>
      <c r="O154" s="9" t="s">
        <v>748</v>
      </c>
    </row>
    <row r="155" spans="1:15">
      <c r="A155" s="9" t="s">
        <v>5</v>
      </c>
      <c r="B155" s="9" t="s">
        <v>684</v>
      </c>
      <c r="C155" s="9" t="s">
        <v>339</v>
      </c>
      <c r="D155" s="9" t="s">
        <v>340</v>
      </c>
      <c r="E155" s="9" t="s">
        <v>749</v>
      </c>
      <c r="F155" s="9" t="s">
        <v>47</v>
      </c>
      <c r="G155" s="9" t="s">
        <v>12</v>
      </c>
      <c r="H155" s="9" t="s">
        <v>49</v>
      </c>
      <c r="I155" s="9" t="s">
        <v>49</v>
      </c>
      <c r="J155" s="9" t="s">
        <v>48</v>
      </c>
      <c r="K155" s="9" t="s">
        <v>50</v>
      </c>
      <c r="L155" s="9" t="s">
        <v>339</v>
      </c>
      <c r="M155" s="9"/>
      <c r="N155" s="9"/>
      <c r="O155" s="9" t="s">
        <v>750</v>
      </c>
    </row>
    <row r="156" spans="1:15">
      <c r="A156" s="9" t="s">
        <v>5</v>
      </c>
      <c r="B156" s="9" t="s">
        <v>684</v>
      </c>
      <c r="C156" s="9" t="s">
        <v>751</v>
      </c>
      <c r="D156" s="9" t="s">
        <v>344</v>
      </c>
      <c r="E156" s="9" t="s">
        <v>752</v>
      </c>
      <c r="F156" s="9" t="s">
        <v>47</v>
      </c>
      <c r="G156" s="9" t="s">
        <v>12</v>
      </c>
      <c r="H156" s="9" t="s">
        <v>49</v>
      </c>
      <c r="I156" s="9" t="s">
        <v>49</v>
      </c>
      <c r="J156" s="9" t="s">
        <v>48</v>
      </c>
      <c r="K156" s="9" t="s">
        <v>50</v>
      </c>
      <c r="L156" s="9" t="s">
        <v>753</v>
      </c>
      <c r="M156" s="9"/>
      <c r="N156" s="9" t="s">
        <v>754</v>
      </c>
      <c r="O156" s="9" t="s">
        <v>755</v>
      </c>
    </row>
    <row r="157" spans="1:15">
      <c r="A157" s="9" t="s">
        <v>5</v>
      </c>
      <c r="B157" s="9" t="s">
        <v>756</v>
      </c>
      <c r="C157" s="9" t="s">
        <v>757</v>
      </c>
      <c r="D157" s="9" t="s">
        <v>758</v>
      </c>
      <c r="E157" s="9" t="s">
        <v>759</v>
      </c>
      <c r="F157" s="9" t="s">
        <v>176</v>
      </c>
      <c r="G157" s="9" t="s">
        <v>16</v>
      </c>
      <c r="H157" s="9" t="s">
        <v>49</v>
      </c>
      <c r="I157" s="9" t="s">
        <v>48</v>
      </c>
      <c r="J157" s="9" t="s">
        <v>48</v>
      </c>
      <c r="K157" s="9" t="s">
        <v>50</v>
      </c>
      <c r="L157" s="9" t="s">
        <v>760</v>
      </c>
      <c r="M157" s="9"/>
      <c r="N157" s="9"/>
      <c r="O157" s="9" t="s">
        <v>761</v>
      </c>
    </row>
    <row r="158" spans="1:15">
      <c r="A158" s="9" t="s">
        <v>5</v>
      </c>
      <c r="B158" s="9" t="s">
        <v>756</v>
      </c>
      <c r="C158" s="9" t="s">
        <v>762</v>
      </c>
      <c r="D158" s="9" t="s">
        <v>763</v>
      </c>
      <c r="E158" s="9" t="s">
        <v>764</v>
      </c>
      <c r="F158" s="9" t="s">
        <v>47</v>
      </c>
      <c r="G158" s="9" t="s">
        <v>12</v>
      </c>
      <c r="H158" s="9" t="s">
        <v>49</v>
      </c>
      <c r="I158" s="9" t="s">
        <v>49</v>
      </c>
      <c r="J158" s="9" t="s">
        <v>48</v>
      </c>
      <c r="K158" s="9" t="s">
        <v>50</v>
      </c>
      <c r="L158" s="9" t="s">
        <v>765</v>
      </c>
      <c r="M158" s="9"/>
      <c r="N158" s="9" t="s">
        <v>766</v>
      </c>
      <c r="O158" s="9" t="s">
        <v>767</v>
      </c>
    </row>
    <row r="159" spans="1:15">
      <c r="A159" s="9" t="s">
        <v>5</v>
      </c>
      <c r="B159" s="9" t="s">
        <v>756</v>
      </c>
      <c r="C159" s="9" t="s">
        <v>768</v>
      </c>
      <c r="D159" s="9" t="s">
        <v>769</v>
      </c>
      <c r="E159" s="9" t="s">
        <v>770</v>
      </c>
      <c r="F159" s="9" t="s">
        <v>243</v>
      </c>
      <c r="G159" s="9" t="s">
        <v>16</v>
      </c>
      <c r="H159" s="9" t="s">
        <v>49</v>
      </c>
      <c r="I159" s="9" t="s">
        <v>49</v>
      </c>
      <c r="J159" s="9" t="s">
        <v>48</v>
      </c>
      <c r="K159" s="9" t="s">
        <v>50</v>
      </c>
      <c r="L159" s="9" t="s">
        <v>771</v>
      </c>
      <c r="M159" s="9"/>
      <c r="N159" s="9" t="s">
        <v>772</v>
      </c>
      <c r="O159" s="9" t="s">
        <v>773</v>
      </c>
    </row>
    <row r="160" spans="1:15">
      <c r="A160" s="9" t="s">
        <v>5</v>
      </c>
      <c r="B160" s="9" t="s">
        <v>756</v>
      </c>
      <c r="C160" s="9" t="s">
        <v>774</v>
      </c>
      <c r="D160" s="9" t="s">
        <v>775</v>
      </c>
      <c r="E160" s="9" t="s">
        <v>776</v>
      </c>
      <c r="F160" s="9" t="s">
        <v>83</v>
      </c>
      <c r="G160" s="9" t="s">
        <v>16</v>
      </c>
      <c r="H160" s="9" t="s">
        <v>49</v>
      </c>
      <c r="I160" s="9" t="s">
        <v>49</v>
      </c>
      <c r="J160" s="9" t="s">
        <v>48</v>
      </c>
      <c r="K160" s="9" t="s">
        <v>50</v>
      </c>
      <c r="L160" s="9" t="s">
        <v>777</v>
      </c>
      <c r="M160" s="9"/>
      <c r="N160" s="9" t="s">
        <v>778</v>
      </c>
      <c r="O160" s="9" t="s">
        <v>779</v>
      </c>
    </row>
    <row r="161" spans="1:15">
      <c r="A161" s="9" t="s">
        <v>5</v>
      </c>
      <c r="B161" s="9" t="s">
        <v>756</v>
      </c>
      <c r="C161" s="9" t="s">
        <v>780</v>
      </c>
      <c r="D161" s="9" t="s">
        <v>781</v>
      </c>
      <c r="E161" s="9" t="s">
        <v>782</v>
      </c>
      <c r="F161" s="9" t="s">
        <v>83</v>
      </c>
      <c r="G161" s="9" t="s">
        <v>16</v>
      </c>
      <c r="H161" s="9" t="s">
        <v>49</v>
      </c>
      <c r="I161" s="9" t="s">
        <v>49</v>
      </c>
      <c r="J161" s="9" t="s">
        <v>48</v>
      </c>
      <c r="K161" s="9" t="s">
        <v>50</v>
      </c>
      <c r="L161" s="9" t="s">
        <v>783</v>
      </c>
      <c r="M161" s="9"/>
      <c r="N161" s="9"/>
      <c r="O161" s="9" t="s">
        <v>784</v>
      </c>
    </row>
    <row r="162" spans="1:15">
      <c r="A162" s="9" t="s">
        <v>5</v>
      </c>
      <c r="B162" s="9" t="s">
        <v>756</v>
      </c>
      <c r="C162" s="9" t="s">
        <v>785</v>
      </c>
      <c r="D162" s="9" t="s">
        <v>786</v>
      </c>
      <c r="E162" s="9" t="s">
        <v>787</v>
      </c>
      <c r="F162" s="9" t="s">
        <v>47</v>
      </c>
      <c r="G162" s="9" t="s">
        <v>12</v>
      </c>
      <c r="H162" s="9" t="s">
        <v>49</v>
      </c>
      <c r="I162" s="9" t="s">
        <v>49</v>
      </c>
      <c r="J162" s="9" t="s">
        <v>48</v>
      </c>
      <c r="K162" s="9" t="s">
        <v>50</v>
      </c>
      <c r="L162" s="9" t="s">
        <v>788</v>
      </c>
      <c r="M162" s="9"/>
      <c r="N162" s="9" t="s">
        <v>789</v>
      </c>
      <c r="O162" s="9" t="s">
        <v>790</v>
      </c>
    </row>
    <row r="163" spans="1:15">
      <c r="A163" s="9" t="s">
        <v>5</v>
      </c>
      <c r="B163" s="9" t="s">
        <v>756</v>
      </c>
      <c r="C163" s="9" t="s">
        <v>791</v>
      </c>
      <c r="D163" s="9" t="s">
        <v>791</v>
      </c>
      <c r="E163" s="9" t="s">
        <v>792</v>
      </c>
      <c r="F163" s="9" t="s">
        <v>47</v>
      </c>
      <c r="G163" s="9" t="s">
        <v>12</v>
      </c>
      <c r="H163" s="9" t="s">
        <v>49</v>
      </c>
      <c r="I163" s="9" t="s">
        <v>49</v>
      </c>
      <c r="J163" s="9" t="s">
        <v>48</v>
      </c>
      <c r="K163" s="9" t="s">
        <v>50</v>
      </c>
      <c r="L163" s="9" t="s">
        <v>793</v>
      </c>
      <c r="M163" s="9"/>
      <c r="N163" s="9" t="s">
        <v>794</v>
      </c>
      <c r="O163" s="9" t="s">
        <v>795</v>
      </c>
    </row>
    <row r="164" spans="1:15">
      <c r="A164" s="9" t="s">
        <v>5</v>
      </c>
      <c r="B164" s="9" t="s">
        <v>756</v>
      </c>
      <c r="C164" s="9" t="s">
        <v>796</v>
      </c>
      <c r="D164" s="9" t="s">
        <v>797</v>
      </c>
      <c r="E164" s="9" t="s">
        <v>798</v>
      </c>
      <c r="F164" s="9" t="s">
        <v>83</v>
      </c>
      <c r="G164" s="9" t="s">
        <v>16</v>
      </c>
      <c r="H164" s="9" t="s">
        <v>49</v>
      </c>
      <c r="I164" s="9" t="s">
        <v>49</v>
      </c>
      <c r="J164" s="9" t="s">
        <v>48</v>
      </c>
      <c r="K164" s="9" t="s">
        <v>50</v>
      </c>
      <c r="L164" s="9" t="s">
        <v>799</v>
      </c>
      <c r="M164" s="9"/>
      <c r="N164" s="9" t="s">
        <v>800</v>
      </c>
      <c r="O164" s="9" t="s">
        <v>801</v>
      </c>
    </row>
    <row r="165" spans="1:15">
      <c r="A165" s="9" t="s">
        <v>5</v>
      </c>
      <c r="B165" s="9" t="s">
        <v>756</v>
      </c>
      <c r="C165" s="9" t="s">
        <v>802</v>
      </c>
      <c r="D165" s="9" t="s">
        <v>803</v>
      </c>
      <c r="E165" s="9" t="s">
        <v>804</v>
      </c>
      <c r="F165" s="9" t="s">
        <v>83</v>
      </c>
      <c r="G165" s="9" t="s">
        <v>16</v>
      </c>
      <c r="H165" s="9" t="s">
        <v>49</v>
      </c>
      <c r="I165" s="9" t="s">
        <v>49</v>
      </c>
      <c r="J165" s="9" t="s">
        <v>48</v>
      </c>
      <c r="K165" s="9" t="s">
        <v>50</v>
      </c>
      <c r="L165" s="9" t="s">
        <v>805</v>
      </c>
      <c r="M165" s="9"/>
      <c r="N165" s="9"/>
      <c r="O165" s="9" t="s">
        <v>806</v>
      </c>
    </row>
    <row r="166" spans="1:15">
      <c r="A166" s="9" t="s">
        <v>5</v>
      </c>
      <c r="B166" s="9" t="s">
        <v>756</v>
      </c>
      <c r="C166" s="9" t="s">
        <v>807</v>
      </c>
      <c r="D166" s="9" t="s">
        <v>68</v>
      </c>
      <c r="E166" s="9" t="s">
        <v>808</v>
      </c>
      <c r="F166" s="9" t="s">
        <v>47</v>
      </c>
      <c r="G166" s="9" t="s">
        <v>12</v>
      </c>
      <c r="H166" s="9" t="s">
        <v>49</v>
      </c>
      <c r="I166" s="9" t="s">
        <v>49</v>
      </c>
      <c r="J166" s="9" t="s">
        <v>48</v>
      </c>
      <c r="K166" s="9" t="s">
        <v>50</v>
      </c>
      <c r="L166" s="9" t="s">
        <v>809</v>
      </c>
      <c r="M166" s="9"/>
      <c r="N166" s="9" t="s">
        <v>810</v>
      </c>
      <c r="O166" s="9" t="s">
        <v>811</v>
      </c>
    </row>
    <row r="167" spans="1:15">
      <c r="A167" s="9" t="s">
        <v>5</v>
      </c>
      <c r="B167" s="9" t="s">
        <v>756</v>
      </c>
      <c r="C167" s="9" t="s">
        <v>812</v>
      </c>
      <c r="D167" s="9" t="s">
        <v>344</v>
      </c>
      <c r="E167" s="9" t="s">
        <v>813</v>
      </c>
      <c r="F167" s="9" t="s">
        <v>83</v>
      </c>
      <c r="G167" s="9" t="s">
        <v>16</v>
      </c>
      <c r="H167" s="9" t="s">
        <v>49</v>
      </c>
      <c r="I167" s="9" t="s">
        <v>49</v>
      </c>
      <c r="J167" s="9" t="s">
        <v>48</v>
      </c>
      <c r="K167" s="9" t="s">
        <v>50</v>
      </c>
      <c r="L167" s="9" t="s">
        <v>814</v>
      </c>
      <c r="M167" s="9"/>
      <c r="N167" s="9" t="s">
        <v>815</v>
      </c>
      <c r="O167" s="9" t="s">
        <v>816</v>
      </c>
    </row>
    <row r="168" spans="1:15">
      <c r="A168" s="9" t="s">
        <v>5</v>
      </c>
      <c r="B168" s="9" t="s">
        <v>756</v>
      </c>
      <c r="C168" s="9" t="s">
        <v>817</v>
      </c>
      <c r="D168" s="9" t="s">
        <v>818</v>
      </c>
      <c r="E168" s="9" t="s">
        <v>819</v>
      </c>
      <c r="F168" s="9" t="s">
        <v>83</v>
      </c>
      <c r="G168" s="9" t="s">
        <v>16</v>
      </c>
      <c r="H168" s="9" t="s">
        <v>49</v>
      </c>
      <c r="I168" s="9" t="s">
        <v>49</v>
      </c>
      <c r="J168" s="9" t="s">
        <v>48</v>
      </c>
      <c r="K168" s="9" t="s">
        <v>50</v>
      </c>
      <c r="L168" s="9" t="s">
        <v>817</v>
      </c>
      <c r="M168" s="9"/>
      <c r="N168" s="9"/>
      <c r="O168" s="9" t="s">
        <v>820</v>
      </c>
    </row>
    <row r="169" spans="1:15">
      <c r="A169" s="9" t="s">
        <v>5</v>
      </c>
      <c r="B169" s="9" t="s">
        <v>756</v>
      </c>
      <c r="C169" s="9" t="s">
        <v>821</v>
      </c>
      <c r="D169" s="9" t="s">
        <v>68</v>
      </c>
      <c r="E169" s="9" t="s">
        <v>822</v>
      </c>
      <c r="F169" s="9" t="s">
        <v>47</v>
      </c>
      <c r="G169" s="9" t="s">
        <v>12</v>
      </c>
      <c r="H169" s="9" t="s">
        <v>49</v>
      </c>
      <c r="I169" s="9" t="s">
        <v>49</v>
      </c>
      <c r="J169" s="9" t="s">
        <v>48</v>
      </c>
      <c r="K169" s="9" t="s">
        <v>50</v>
      </c>
      <c r="L169" s="9" t="s">
        <v>823</v>
      </c>
      <c r="M169" s="9"/>
      <c r="N169" s="9" t="s">
        <v>824</v>
      </c>
      <c r="O169" s="9" t="s">
        <v>825</v>
      </c>
    </row>
    <row r="170" spans="1:15">
      <c r="A170" s="9" t="s">
        <v>5</v>
      </c>
      <c r="B170" s="9" t="s">
        <v>756</v>
      </c>
      <c r="C170" s="9" t="s">
        <v>826</v>
      </c>
      <c r="D170" s="9" t="s">
        <v>827</v>
      </c>
      <c r="E170" s="9" t="s">
        <v>828</v>
      </c>
      <c r="F170" s="9" t="s">
        <v>83</v>
      </c>
      <c r="G170" s="9" t="s">
        <v>16</v>
      </c>
      <c r="H170" s="9" t="s">
        <v>49</v>
      </c>
      <c r="I170" s="9" t="s">
        <v>49</v>
      </c>
      <c r="J170" s="9" t="s">
        <v>48</v>
      </c>
      <c r="K170" s="9" t="s">
        <v>50</v>
      </c>
      <c r="L170" s="9" t="s">
        <v>829</v>
      </c>
      <c r="M170" s="9"/>
      <c r="N170" s="9"/>
      <c r="O170" s="9" t="s">
        <v>830</v>
      </c>
    </row>
    <row r="171" spans="1:15">
      <c r="A171" s="9" t="s">
        <v>5</v>
      </c>
      <c r="B171" s="9" t="s">
        <v>756</v>
      </c>
      <c r="C171" s="9" t="s">
        <v>831</v>
      </c>
      <c r="D171" s="9" t="s">
        <v>68</v>
      </c>
      <c r="E171" s="9" t="s">
        <v>832</v>
      </c>
      <c r="F171" s="9" t="s">
        <v>83</v>
      </c>
      <c r="G171" s="9" t="s">
        <v>16</v>
      </c>
      <c r="H171" s="9" t="s">
        <v>49</v>
      </c>
      <c r="I171" s="9" t="s">
        <v>49</v>
      </c>
      <c r="J171" s="9" t="s">
        <v>48</v>
      </c>
      <c r="K171" s="9" t="s">
        <v>50</v>
      </c>
      <c r="L171" s="9" t="s">
        <v>833</v>
      </c>
      <c r="M171" s="9"/>
      <c r="N171" s="9" t="s">
        <v>834</v>
      </c>
      <c r="O171" s="9" t="s">
        <v>835</v>
      </c>
    </row>
    <row r="172" spans="1:15">
      <c r="A172" s="9" t="s">
        <v>5</v>
      </c>
      <c r="B172" s="9" t="s">
        <v>756</v>
      </c>
      <c r="C172" s="9" t="s">
        <v>836</v>
      </c>
      <c r="D172" s="9" t="s">
        <v>837</v>
      </c>
      <c r="E172" s="9" t="s">
        <v>838</v>
      </c>
      <c r="F172" s="9" t="s">
        <v>83</v>
      </c>
      <c r="G172" s="9" t="s">
        <v>16</v>
      </c>
      <c r="H172" s="9" t="s">
        <v>49</v>
      </c>
      <c r="I172" s="9" t="s">
        <v>49</v>
      </c>
      <c r="J172" s="9" t="s">
        <v>48</v>
      </c>
      <c r="K172" s="9" t="s">
        <v>50</v>
      </c>
      <c r="L172" s="9" t="s">
        <v>836</v>
      </c>
      <c r="M172" s="9"/>
      <c r="N172" s="9"/>
      <c r="O172" s="9" t="s">
        <v>839</v>
      </c>
    </row>
    <row r="173" spans="1:15">
      <c r="A173" s="9" t="s">
        <v>5</v>
      </c>
      <c r="B173" s="9" t="s">
        <v>756</v>
      </c>
      <c r="C173" s="9" t="s">
        <v>840</v>
      </c>
      <c r="D173" s="9" t="s">
        <v>68</v>
      </c>
      <c r="E173" s="9" t="s">
        <v>841</v>
      </c>
      <c r="F173" s="9" t="s">
        <v>47</v>
      </c>
      <c r="G173" s="9" t="s">
        <v>12</v>
      </c>
      <c r="H173" s="9" t="s">
        <v>49</v>
      </c>
      <c r="I173" s="9" t="s">
        <v>49</v>
      </c>
      <c r="J173" s="9" t="s">
        <v>48</v>
      </c>
      <c r="K173" s="9" t="s">
        <v>50</v>
      </c>
      <c r="L173" s="9" t="s">
        <v>842</v>
      </c>
      <c r="M173" s="9"/>
      <c r="N173" s="9" t="s">
        <v>843</v>
      </c>
      <c r="O173" s="9" t="s">
        <v>844</v>
      </c>
    </row>
    <row r="174" spans="1:15">
      <c r="A174" s="9" t="s">
        <v>5</v>
      </c>
      <c r="B174" s="9" t="s">
        <v>756</v>
      </c>
      <c r="C174" s="9" t="s">
        <v>845</v>
      </c>
      <c r="D174" s="9" t="s">
        <v>846</v>
      </c>
      <c r="E174" s="9" t="s">
        <v>847</v>
      </c>
      <c r="F174" s="9" t="s">
        <v>83</v>
      </c>
      <c r="G174" s="9" t="s">
        <v>16</v>
      </c>
      <c r="H174" s="9" t="s">
        <v>49</v>
      </c>
      <c r="I174" s="9" t="s">
        <v>49</v>
      </c>
      <c r="J174" s="9" t="s">
        <v>48</v>
      </c>
      <c r="K174" s="9" t="s">
        <v>50</v>
      </c>
      <c r="L174" s="9" t="s">
        <v>845</v>
      </c>
      <c r="M174" s="9"/>
      <c r="N174" s="9"/>
      <c r="O174" s="9" t="s">
        <v>848</v>
      </c>
    </row>
    <row r="175" spans="1:15">
      <c r="A175" s="9" t="s">
        <v>5</v>
      </c>
      <c r="B175" s="9" t="s">
        <v>756</v>
      </c>
      <c r="C175" s="9" t="s">
        <v>849</v>
      </c>
      <c r="D175" s="9" t="s">
        <v>95</v>
      </c>
      <c r="E175" s="9" t="s">
        <v>850</v>
      </c>
      <c r="F175" s="9" t="s">
        <v>47</v>
      </c>
      <c r="G175" s="9" t="s">
        <v>12</v>
      </c>
      <c r="H175" s="9" t="s">
        <v>49</v>
      </c>
      <c r="I175" s="9" t="s">
        <v>49</v>
      </c>
      <c r="J175" s="9" t="s">
        <v>48</v>
      </c>
      <c r="K175" s="9" t="s">
        <v>84</v>
      </c>
      <c r="L175" s="9" t="s">
        <v>851</v>
      </c>
      <c r="M175" s="9"/>
      <c r="N175" s="9" t="s">
        <v>852</v>
      </c>
      <c r="O175" s="9" t="s">
        <v>853</v>
      </c>
    </row>
    <row r="176" spans="1:15">
      <c r="A176" s="9" t="s">
        <v>5</v>
      </c>
      <c r="B176" s="9" t="s">
        <v>854</v>
      </c>
      <c r="C176" s="9" t="s">
        <v>855</v>
      </c>
      <c r="D176" s="9" t="s">
        <v>856</v>
      </c>
      <c r="E176" s="9" t="s">
        <v>857</v>
      </c>
      <c r="F176" s="9" t="s">
        <v>176</v>
      </c>
      <c r="G176" s="9" t="s">
        <v>16</v>
      </c>
      <c r="H176" s="9" t="s">
        <v>49</v>
      </c>
      <c r="I176" s="9" t="s">
        <v>48</v>
      </c>
      <c r="J176" s="9" t="s">
        <v>48</v>
      </c>
      <c r="K176" s="9" t="s">
        <v>50</v>
      </c>
      <c r="L176" s="9" t="s">
        <v>858</v>
      </c>
      <c r="M176" s="9"/>
      <c r="N176" s="9"/>
      <c r="O176" s="9" t="s">
        <v>859</v>
      </c>
    </row>
    <row r="177" spans="1:15">
      <c r="A177" s="9" t="s">
        <v>5</v>
      </c>
      <c r="B177" s="9" t="s">
        <v>854</v>
      </c>
      <c r="C177" s="9" t="s">
        <v>860</v>
      </c>
      <c r="D177" s="9" t="s">
        <v>860</v>
      </c>
      <c r="E177" s="9" t="s">
        <v>861</v>
      </c>
      <c r="F177" s="9" t="s">
        <v>47</v>
      </c>
      <c r="G177" s="9" t="s">
        <v>12</v>
      </c>
      <c r="H177" s="9" t="s">
        <v>49</v>
      </c>
      <c r="I177" s="9" t="s">
        <v>49</v>
      </c>
      <c r="J177" s="9" t="s">
        <v>48</v>
      </c>
      <c r="K177" s="9" t="s">
        <v>50</v>
      </c>
      <c r="L177" s="9" t="s">
        <v>862</v>
      </c>
      <c r="M177" s="9"/>
      <c r="N177" s="9" t="s">
        <v>863</v>
      </c>
      <c r="O177" s="9" t="s">
        <v>864</v>
      </c>
    </row>
    <row r="178" spans="1:15">
      <c r="A178" s="9" t="s">
        <v>5</v>
      </c>
      <c r="B178" s="9" t="s">
        <v>854</v>
      </c>
      <c r="C178" s="9" t="s">
        <v>865</v>
      </c>
      <c r="D178" s="9" t="s">
        <v>866</v>
      </c>
      <c r="E178" s="9" t="s">
        <v>867</v>
      </c>
      <c r="F178" s="9" t="s">
        <v>83</v>
      </c>
      <c r="G178" s="9" t="s">
        <v>16</v>
      </c>
      <c r="H178" s="9" t="s">
        <v>49</v>
      </c>
      <c r="I178" s="9" t="s">
        <v>49</v>
      </c>
      <c r="J178" s="9" t="s">
        <v>48</v>
      </c>
      <c r="K178" s="9" t="s">
        <v>128</v>
      </c>
      <c r="L178" s="9" t="s">
        <v>868</v>
      </c>
      <c r="M178" s="9"/>
      <c r="N178" s="9" t="s">
        <v>869</v>
      </c>
      <c r="O178" s="9" t="s">
        <v>870</v>
      </c>
    </row>
    <row r="179" spans="1:15">
      <c r="A179" s="9" t="s">
        <v>5</v>
      </c>
      <c r="B179" s="9" t="s">
        <v>854</v>
      </c>
      <c r="C179" s="9" t="s">
        <v>871</v>
      </c>
      <c r="D179" s="9" t="s">
        <v>872</v>
      </c>
      <c r="E179" s="9" t="s">
        <v>873</v>
      </c>
      <c r="F179" s="9" t="s">
        <v>83</v>
      </c>
      <c r="G179" s="9" t="s">
        <v>16</v>
      </c>
      <c r="H179" s="9" t="s">
        <v>49</v>
      </c>
      <c r="I179" s="9" t="s">
        <v>49</v>
      </c>
      <c r="J179" s="9" t="s">
        <v>48</v>
      </c>
      <c r="K179" s="9" t="s">
        <v>128</v>
      </c>
      <c r="L179" s="9" t="s">
        <v>874</v>
      </c>
      <c r="M179" s="9"/>
      <c r="N179" s="9" t="s">
        <v>875</v>
      </c>
      <c r="O179" s="9" t="s">
        <v>876</v>
      </c>
    </row>
    <row r="180" spans="1:15">
      <c r="A180" s="9" t="s">
        <v>5</v>
      </c>
      <c r="B180" s="9" t="s">
        <v>854</v>
      </c>
      <c r="C180" s="9" t="s">
        <v>877</v>
      </c>
      <c r="D180" s="9" t="s">
        <v>878</v>
      </c>
      <c r="E180" s="9" t="s">
        <v>879</v>
      </c>
      <c r="F180" s="9" t="s">
        <v>83</v>
      </c>
      <c r="G180" s="9" t="s">
        <v>16</v>
      </c>
      <c r="H180" s="9" t="s">
        <v>49</v>
      </c>
      <c r="I180" s="9" t="s">
        <v>49</v>
      </c>
      <c r="J180" s="9" t="s">
        <v>48</v>
      </c>
      <c r="K180" s="9" t="s">
        <v>880</v>
      </c>
      <c r="L180" s="9" t="s">
        <v>881</v>
      </c>
      <c r="M180" s="9"/>
      <c r="N180" s="9" t="s">
        <v>882</v>
      </c>
      <c r="O180" s="9" t="s">
        <v>883</v>
      </c>
    </row>
    <row r="181" spans="1:15">
      <c r="A181" s="9" t="s">
        <v>5</v>
      </c>
      <c r="B181" s="9" t="s">
        <v>854</v>
      </c>
      <c r="C181" s="9" t="s">
        <v>884</v>
      </c>
      <c r="D181" s="9" t="s">
        <v>885</v>
      </c>
      <c r="E181" s="9" t="s">
        <v>886</v>
      </c>
      <c r="F181" s="9" t="s">
        <v>47</v>
      </c>
      <c r="G181" s="9" t="s">
        <v>12</v>
      </c>
      <c r="H181" s="9" t="s">
        <v>49</v>
      </c>
      <c r="I181" s="9" t="s">
        <v>49</v>
      </c>
      <c r="J181" s="9" t="s">
        <v>48</v>
      </c>
      <c r="K181" s="9" t="s">
        <v>887</v>
      </c>
      <c r="L181" s="9" t="s">
        <v>888</v>
      </c>
      <c r="M181" s="9"/>
      <c r="N181" s="9" t="s">
        <v>889</v>
      </c>
      <c r="O181" s="9" t="s">
        <v>890</v>
      </c>
    </row>
    <row r="182" spans="1:15">
      <c r="A182" s="9" t="s">
        <v>5</v>
      </c>
      <c r="B182" s="9" t="s">
        <v>854</v>
      </c>
      <c r="C182" s="9" t="s">
        <v>891</v>
      </c>
      <c r="D182" s="9" t="s">
        <v>891</v>
      </c>
      <c r="E182" s="9" t="s">
        <v>892</v>
      </c>
      <c r="F182" s="9" t="s">
        <v>274</v>
      </c>
      <c r="G182" s="9" t="s">
        <v>12</v>
      </c>
      <c r="H182" s="9" t="s">
        <v>49</v>
      </c>
      <c r="I182" s="9" t="s">
        <v>49</v>
      </c>
      <c r="J182" s="9" t="s">
        <v>48</v>
      </c>
      <c r="K182" s="9" t="s">
        <v>893</v>
      </c>
      <c r="L182" s="9" t="s">
        <v>894</v>
      </c>
      <c r="M182" s="9"/>
      <c r="N182" s="9" t="s">
        <v>110</v>
      </c>
      <c r="O182" s="9" t="s">
        <v>895</v>
      </c>
    </row>
    <row r="183" spans="1:15">
      <c r="A183" s="9" t="s">
        <v>5</v>
      </c>
      <c r="B183" s="9" t="s">
        <v>854</v>
      </c>
      <c r="C183" s="9" t="s">
        <v>896</v>
      </c>
      <c r="D183" s="9" t="s">
        <v>897</v>
      </c>
      <c r="E183" s="9" t="s">
        <v>898</v>
      </c>
      <c r="F183" s="9" t="s">
        <v>83</v>
      </c>
      <c r="G183" s="9" t="s">
        <v>16</v>
      </c>
      <c r="H183" s="9" t="s">
        <v>49</v>
      </c>
      <c r="I183" s="9" t="s">
        <v>49</v>
      </c>
      <c r="J183" s="9" t="s">
        <v>48</v>
      </c>
      <c r="K183" s="9" t="s">
        <v>887</v>
      </c>
      <c r="L183" s="9" t="s">
        <v>899</v>
      </c>
      <c r="M183" s="9"/>
      <c r="N183" s="9" t="s">
        <v>900</v>
      </c>
      <c r="O183" s="9" t="s">
        <v>901</v>
      </c>
    </row>
    <row r="184" spans="1:15">
      <c r="A184" s="9" t="s">
        <v>5</v>
      </c>
      <c r="B184" s="9" t="s">
        <v>854</v>
      </c>
      <c r="C184" s="9" t="s">
        <v>891</v>
      </c>
      <c r="D184" s="9" t="s">
        <v>891</v>
      </c>
      <c r="E184" s="9" t="s">
        <v>902</v>
      </c>
      <c r="F184" s="9" t="s">
        <v>274</v>
      </c>
      <c r="G184" s="9" t="s">
        <v>12</v>
      </c>
      <c r="H184" s="9" t="s">
        <v>49</v>
      </c>
      <c r="I184" s="9" t="s">
        <v>49</v>
      </c>
      <c r="J184" s="9" t="s">
        <v>48</v>
      </c>
      <c r="K184" s="9" t="s">
        <v>893</v>
      </c>
      <c r="L184" s="9" t="s">
        <v>894</v>
      </c>
      <c r="M184" s="9"/>
      <c r="N184" s="9" t="s">
        <v>110</v>
      </c>
      <c r="O184" s="9" t="s">
        <v>903</v>
      </c>
    </row>
    <row r="185" spans="1:15">
      <c r="A185" s="9" t="s">
        <v>5</v>
      </c>
      <c r="B185" s="9" t="s">
        <v>854</v>
      </c>
      <c r="C185" s="9" t="s">
        <v>904</v>
      </c>
      <c r="D185" s="9" t="s">
        <v>905</v>
      </c>
      <c r="E185" s="9" t="s">
        <v>906</v>
      </c>
      <c r="F185" s="9" t="s">
        <v>47</v>
      </c>
      <c r="G185" s="9" t="s">
        <v>12</v>
      </c>
      <c r="H185" s="9" t="s">
        <v>49</v>
      </c>
      <c r="I185" s="9" t="s">
        <v>49</v>
      </c>
      <c r="J185" s="9" t="s">
        <v>48</v>
      </c>
      <c r="K185" s="9" t="s">
        <v>907</v>
      </c>
      <c r="L185" s="9" t="s">
        <v>904</v>
      </c>
      <c r="M185" s="9"/>
      <c r="N185" s="9"/>
      <c r="O185" s="9" t="s">
        <v>908</v>
      </c>
    </row>
    <row r="186" spans="1:15">
      <c r="A186" s="9" t="s">
        <v>5</v>
      </c>
      <c r="B186" s="9" t="s">
        <v>854</v>
      </c>
      <c r="C186" s="9" t="s">
        <v>909</v>
      </c>
      <c r="D186" s="9" t="s">
        <v>68</v>
      </c>
      <c r="E186" s="9" t="s">
        <v>910</v>
      </c>
      <c r="F186" s="9" t="s">
        <v>47</v>
      </c>
      <c r="G186" s="9" t="s">
        <v>12</v>
      </c>
      <c r="H186" s="9" t="s">
        <v>49</v>
      </c>
      <c r="I186" s="9" t="s">
        <v>49</v>
      </c>
      <c r="J186" s="9" t="s">
        <v>48</v>
      </c>
      <c r="K186" s="9" t="s">
        <v>907</v>
      </c>
      <c r="L186" s="9" t="s">
        <v>911</v>
      </c>
      <c r="M186" s="9"/>
      <c r="N186" s="9" t="s">
        <v>912</v>
      </c>
      <c r="O186" s="9" t="s">
        <v>913</v>
      </c>
    </row>
    <row r="187" spans="1:15">
      <c r="A187" s="9" t="s">
        <v>5</v>
      </c>
      <c r="B187" s="9" t="s">
        <v>854</v>
      </c>
      <c r="C187" s="9" t="s">
        <v>914</v>
      </c>
      <c r="D187" s="9" t="s">
        <v>915</v>
      </c>
      <c r="E187" s="9" t="s">
        <v>916</v>
      </c>
      <c r="F187" s="9" t="s">
        <v>83</v>
      </c>
      <c r="G187" s="9" t="s">
        <v>16</v>
      </c>
      <c r="H187" s="9" t="s">
        <v>49</v>
      </c>
      <c r="I187" s="9" t="s">
        <v>49</v>
      </c>
      <c r="J187" s="9" t="s">
        <v>48</v>
      </c>
      <c r="K187" s="9" t="s">
        <v>880</v>
      </c>
      <c r="L187" s="9" t="s">
        <v>917</v>
      </c>
      <c r="M187" s="9"/>
      <c r="N187" s="9" t="s">
        <v>918</v>
      </c>
      <c r="O187" s="9" t="s">
        <v>919</v>
      </c>
    </row>
    <row r="188" spans="1:15">
      <c r="A188" s="9" t="s">
        <v>5</v>
      </c>
      <c r="B188" s="9" t="s">
        <v>854</v>
      </c>
      <c r="C188" s="9" t="s">
        <v>415</v>
      </c>
      <c r="D188" s="9" t="s">
        <v>416</v>
      </c>
      <c r="E188" s="9" t="s">
        <v>920</v>
      </c>
      <c r="F188" s="9" t="s">
        <v>47</v>
      </c>
      <c r="G188" s="9" t="s">
        <v>12</v>
      </c>
      <c r="H188" s="9" t="s">
        <v>49</v>
      </c>
      <c r="I188" s="9" t="s">
        <v>49</v>
      </c>
      <c r="J188" s="9" t="s">
        <v>48</v>
      </c>
      <c r="K188" s="9" t="s">
        <v>418</v>
      </c>
      <c r="L188" s="9" t="s">
        <v>415</v>
      </c>
      <c r="M188" s="9"/>
      <c r="N188" s="9"/>
      <c r="O188" s="9" t="s">
        <v>921</v>
      </c>
    </row>
    <row r="189" spans="1:15">
      <c r="A189" s="9" t="s">
        <v>5</v>
      </c>
      <c r="B189" s="9" t="s">
        <v>854</v>
      </c>
      <c r="C189" s="9" t="s">
        <v>68</v>
      </c>
      <c r="D189" s="9" t="s">
        <v>68</v>
      </c>
      <c r="E189" s="9" t="s">
        <v>922</v>
      </c>
      <c r="F189" s="9" t="s">
        <v>47</v>
      </c>
      <c r="G189" s="9" t="s">
        <v>12</v>
      </c>
      <c r="H189" s="9" t="s">
        <v>49</v>
      </c>
      <c r="I189" s="9" t="s">
        <v>49</v>
      </c>
      <c r="J189" s="9" t="s">
        <v>48</v>
      </c>
      <c r="K189" s="9" t="s">
        <v>554</v>
      </c>
      <c r="L189" s="9" t="s">
        <v>555</v>
      </c>
      <c r="M189" s="9" t="s">
        <v>422</v>
      </c>
      <c r="N189" s="9"/>
      <c r="O189" s="9" t="s">
        <v>923</v>
      </c>
    </row>
    <row r="190" spans="1:15">
      <c r="A190" s="9" t="s">
        <v>5</v>
      </c>
      <c r="B190" s="9" t="s">
        <v>924</v>
      </c>
      <c r="C190" s="9" t="s">
        <v>925</v>
      </c>
      <c r="D190" s="9" t="s">
        <v>926</v>
      </c>
      <c r="E190" s="9" t="s">
        <v>927</v>
      </c>
      <c r="F190" s="9" t="s">
        <v>928</v>
      </c>
      <c r="G190" s="9" t="s">
        <v>14</v>
      </c>
      <c r="H190" s="9" t="s">
        <v>49</v>
      </c>
      <c r="I190" s="9" t="s">
        <v>49</v>
      </c>
      <c r="J190" s="9" t="s">
        <v>48</v>
      </c>
      <c r="K190" s="9" t="s">
        <v>929</v>
      </c>
      <c r="L190" s="9" t="s">
        <v>930</v>
      </c>
      <c r="M190" s="9"/>
      <c r="N190" s="9"/>
      <c r="O190" s="9" t="s">
        <v>931</v>
      </c>
    </row>
    <row r="191" spans="1:15">
      <c r="A191" s="9" t="s">
        <v>5</v>
      </c>
      <c r="B191" s="9" t="s">
        <v>924</v>
      </c>
      <c r="C191" s="9" t="s">
        <v>932</v>
      </c>
      <c r="D191" s="9" t="s">
        <v>933</v>
      </c>
      <c r="E191" s="9" t="s">
        <v>934</v>
      </c>
      <c r="F191" s="9" t="s">
        <v>47</v>
      </c>
      <c r="G191" s="9" t="s">
        <v>12</v>
      </c>
      <c r="H191" s="9" t="s">
        <v>49</v>
      </c>
      <c r="I191" s="9" t="s">
        <v>49</v>
      </c>
      <c r="J191" s="9" t="s">
        <v>48</v>
      </c>
      <c r="K191" s="9" t="s">
        <v>115</v>
      </c>
      <c r="L191" s="9" t="s">
        <v>935</v>
      </c>
      <c r="M191" s="9"/>
      <c r="N191" s="9" t="s">
        <v>936</v>
      </c>
      <c r="O191" s="9" t="s">
        <v>937</v>
      </c>
    </row>
    <row r="192" spans="1:15">
      <c r="A192" s="9" t="s">
        <v>5</v>
      </c>
      <c r="B192" s="9" t="s">
        <v>924</v>
      </c>
      <c r="C192" s="9" t="s">
        <v>891</v>
      </c>
      <c r="D192" s="9" t="s">
        <v>891</v>
      </c>
      <c r="E192" s="9" t="s">
        <v>938</v>
      </c>
      <c r="F192" s="9" t="s">
        <v>274</v>
      </c>
      <c r="G192" s="9" t="s">
        <v>12</v>
      </c>
      <c r="H192" s="9" t="s">
        <v>49</v>
      </c>
      <c r="I192" s="9" t="s">
        <v>49</v>
      </c>
      <c r="J192" s="9" t="s">
        <v>48</v>
      </c>
      <c r="K192" s="9" t="s">
        <v>893</v>
      </c>
      <c r="L192" s="9" t="s">
        <v>939</v>
      </c>
      <c r="M192" s="9"/>
      <c r="N192" s="9" t="s">
        <v>110</v>
      </c>
      <c r="O192" s="9" t="s">
        <v>940</v>
      </c>
    </row>
    <row r="193" spans="1:15">
      <c r="A193" s="9" t="s">
        <v>5</v>
      </c>
      <c r="B193" s="9" t="s">
        <v>924</v>
      </c>
      <c r="C193" s="9" t="s">
        <v>941</v>
      </c>
      <c r="D193" s="9" t="s">
        <v>942</v>
      </c>
      <c r="E193" s="9" t="s">
        <v>943</v>
      </c>
      <c r="F193" s="9" t="s">
        <v>176</v>
      </c>
      <c r="G193" s="9" t="s">
        <v>16</v>
      </c>
      <c r="H193" s="9" t="s">
        <v>49</v>
      </c>
      <c r="I193" s="9" t="s">
        <v>48</v>
      </c>
      <c r="J193" s="9" t="s">
        <v>48</v>
      </c>
      <c r="K193" s="9" t="s">
        <v>50</v>
      </c>
      <c r="L193" s="9" t="s">
        <v>944</v>
      </c>
      <c r="M193" s="9"/>
      <c r="N193" s="9"/>
      <c r="O193" s="9" t="s">
        <v>945</v>
      </c>
    </row>
    <row r="194" spans="1:15">
      <c r="A194" s="9" t="s">
        <v>5</v>
      </c>
      <c r="B194" s="9" t="s">
        <v>924</v>
      </c>
      <c r="C194" s="9" t="s">
        <v>946</v>
      </c>
      <c r="D194" s="9" t="s">
        <v>947</v>
      </c>
      <c r="E194" s="9" t="s">
        <v>948</v>
      </c>
      <c r="F194" s="9" t="s">
        <v>47</v>
      </c>
      <c r="G194" s="9" t="s">
        <v>12</v>
      </c>
      <c r="H194" s="9" t="s">
        <v>49</v>
      </c>
      <c r="I194" s="9" t="s">
        <v>49</v>
      </c>
      <c r="J194" s="9" t="s">
        <v>48</v>
      </c>
      <c r="K194" s="9" t="s">
        <v>949</v>
      </c>
      <c r="L194" s="9" t="s">
        <v>950</v>
      </c>
      <c r="M194" s="9"/>
      <c r="N194" s="9" t="s">
        <v>951</v>
      </c>
      <c r="O194" s="9" t="s">
        <v>952</v>
      </c>
    </row>
    <row r="195" spans="1:15">
      <c r="A195" s="9" t="s">
        <v>5</v>
      </c>
      <c r="B195" s="9" t="s">
        <v>924</v>
      </c>
      <c r="C195" s="9" t="s">
        <v>891</v>
      </c>
      <c r="D195" s="9" t="s">
        <v>891</v>
      </c>
      <c r="E195" s="9" t="s">
        <v>953</v>
      </c>
      <c r="F195" s="9" t="s">
        <v>274</v>
      </c>
      <c r="G195" s="9" t="s">
        <v>12</v>
      </c>
      <c r="H195" s="9" t="s">
        <v>49</v>
      </c>
      <c r="I195" s="9" t="s">
        <v>49</v>
      </c>
      <c r="J195" s="9" t="s">
        <v>48</v>
      </c>
      <c r="K195" s="9" t="s">
        <v>893</v>
      </c>
      <c r="L195" s="9" t="s">
        <v>894</v>
      </c>
      <c r="M195" s="9"/>
      <c r="N195" s="9" t="s">
        <v>110</v>
      </c>
      <c r="O195" s="9" t="s">
        <v>954</v>
      </c>
    </row>
    <row r="196" spans="1:15">
      <c r="A196" s="9" t="s">
        <v>5</v>
      </c>
      <c r="B196" s="9" t="s">
        <v>924</v>
      </c>
      <c r="C196" s="9" t="s">
        <v>955</v>
      </c>
      <c r="D196" s="9" t="s">
        <v>933</v>
      </c>
      <c r="E196" s="9" t="s">
        <v>956</v>
      </c>
      <c r="F196" s="9" t="s">
        <v>47</v>
      </c>
      <c r="G196" s="9" t="s">
        <v>12</v>
      </c>
      <c r="H196" s="9" t="s">
        <v>49</v>
      </c>
      <c r="I196" s="9" t="s">
        <v>49</v>
      </c>
      <c r="J196" s="9" t="s">
        <v>48</v>
      </c>
      <c r="K196" s="9" t="s">
        <v>949</v>
      </c>
      <c r="L196" s="9" t="s">
        <v>957</v>
      </c>
      <c r="M196" s="9"/>
      <c r="N196" s="9" t="s">
        <v>936</v>
      </c>
      <c r="O196" s="9" t="s">
        <v>958</v>
      </c>
    </row>
    <row r="197" spans="1:15">
      <c r="A197" s="9" t="s">
        <v>5</v>
      </c>
      <c r="B197" s="9" t="s">
        <v>924</v>
      </c>
      <c r="C197" s="9" t="s">
        <v>891</v>
      </c>
      <c r="D197" s="9" t="s">
        <v>891</v>
      </c>
      <c r="E197" s="9" t="s">
        <v>959</v>
      </c>
      <c r="F197" s="9" t="s">
        <v>274</v>
      </c>
      <c r="G197" s="9" t="s">
        <v>12</v>
      </c>
      <c r="H197" s="9" t="s">
        <v>49</v>
      </c>
      <c r="I197" s="9" t="s">
        <v>49</v>
      </c>
      <c r="J197" s="9" t="s">
        <v>48</v>
      </c>
      <c r="K197" s="9" t="s">
        <v>893</v>
      </c>
      <c r="L197" s="9" t="s">
        <v>894</v>
      </c>
      <c r="M197" s="9"/>
      <c r="N197" s="9" t="s">
        <v>110</v>
      </c>
      <c r="O197" s="9" t="s">
        <v>960</v>
      </c>
    </row>
    <row r="198" spans="1:15">
      <c r="A198" s="9" t="s">
        <v>5</v>
      </c>
      <c r="B198" s="9" t="s">
        <v>924</v>
      </c>
      <c r="C198" s="9" t="s">
        <v>961</v>
      </c>
      <c r="D198" s="9" t="s">
        <v>905</v>
      </c>
      <c r="E198" s="9" t="s">
        <v>962</v>
      </c>
      <c r="F198" s="9" t="s">
        <v>47</v>
      </c>
      <c r="G198" s="9" t="s">
        <v>12</v>
      </c>
      <c r="H198" s="9" t="s">
        <v>49</v>
      </c>
      <c r="I198" s="9" t="s">
        <v>49</v>
      </c>
      <c r="J198" s="9" t="s">
        <v>48</v>
      </c>
      <c r="K198" s="9" t="s">
        <v>907</v>
      </c>
      <c r="L198" s="9" t="s">
        <v>961</v>
      </c>
      <c r="M198" s="9"/>
      <c r="N198" s="9"/>
      <c r="O198" s="9" t="s">
        <v>963</v>
      </c>
    </row>
    <row r="199" spans="1:15">
      <c r="A199" s="9" t="s">
        <v>5</v>
      </c>
      <c r="B199" s="9" t="s">
        <v>924</v>
      </c>
      <c r="C199" s="9" t="s">
        <v>964</v>
      </c>
      <c r="D199" s="9" t="s">
        <v>68</v>
      </c>
      <c r="E199" s="9" t="s">
        <v>965</v>
      </c>
      <c r="F199" s="9" t="s">
        <v>47</v>
      </c>
      <c r="G199" s="9" t="s">
        <v>12</v>
      </c>
      <c r="H199" s="9" t="s">
        <v>49</v>
      </c>
      <c r="I199" s="9" t="s">
        <v>49</v>
      </c>
      <c r="J199" s="9" t="s">
        <v>48</v>
      </c>
      <c r="K199" s="9" t="s">
        <v>907</v>
      </c>
      <c r="L199" s="9" t="s">
        <v>966</v>
      </c>
      <c r="M199" s="9"/>
      <c r="N199" s="9" t="s">
        <v>912</v>
      </c>
      <c r="O199" s="9" t="s">
        <v>967</v>
      </c>
    </row>
    <row r="200" spans="1:15">
      <c r="A200" s="9" t="s">
        <v>5</v>
      </c>
      <c r="B200" s="9" t="s">
        <v>924</v>
      </c>
      <c r="C200" s="9" t="s">
        <v>968</v>
      </c>
      <c r="D200" s="9" t="s">
        <v>915</v>
      </c>
      <c r="E200" s="9" t="s">
        <v>969</v>
      </c>
      <c r="F200" s="9" t="s">
        <v>83</v>
      </c>
      <c r="G200" s="9" t="s">
        <v>16</v>
      </c>
      <c r="H200" s="9" t="s">
        <v>49</v>
      </c>
      <c r="I200" s="9" t="s">
        <v>49</v>
      </c>
      <c r="J200" s="9" t="s">
        <v>48</v>
      </c>
      <c r="K200" s="9" t="s">
        <v>970</v>
      </c>
      <c r="L200" s="9" t="s">
        <v>971</v>
      </c>
      <c r="M200" s="9"/>
      <c r="N200" s="9" t="s">
        <v>918</v>
      </c>
      <c r="O200" s="9" t="s">
        <v>972</v>
      </c>
    </row>
    <row r="201" spans="1:15">
      <c r="A201" s="9" t="s">
        <v>5</v>
      </c>
      <c r="B201" s="9" t="s">
        <v>924</v>
      </c>
      <c r="C201" s="9" t="s">
        <v>973</v>
      </c>
      <c r="D201" s="9" t="s">
        <v>974</v>
      </c>
      <c r="E201" s="9" t="s">
        <v>975</v>
      </c>
      <c r="F201" s="9" t="s">
        <v>83</v>
      </c>
      <c r="G201" s="9" t="s">
        <v>16</v>
      </c>
      <c r="H201" s="9" t="s">
        <v>49</v>
      </c>
      <c r="I201" s="9" t="s">
        <v>49</v>
      </c>
      <c r="J201" s="9" t="s">
        <v>48</v>
      </c>
      <c r="K201" s="9" t="s">
        <v>880</v>
      </c>
      <c r="L201" s="9" t="s">
        <v>976</v>
      </c>
      <c r="M201" s="9"/>
      <c r="N201" s="9"/>
      <c r="O201" s="9" t="s">
        <v>977</v>
      </c>
    </row>
    <row r="202" spans="1:15">
      <c r="A202" s="9" t="s">
        <v>5</v>
      </c>
      <c r="B202" s="9" t="s">
        <v>924</v>
      </c>
      <c r="C202" s="9" t="s">
        <v>978</v>
      </c>
      <c r="D202" s="9" t="s">
        <v>979</v>
      </c>
      <c r="E202" s="9" t="s">
        <v>980</v>
      </c>
      <c r="F202" s="9" t="s">
        <v>83</v>
      </c>
      <c r="G202" s="9" t="s">
        <v>16</v>
      </c>
      <c r="H202" s="9" t="s">
        <v>49</v>
      </c>
      <c r="I202" s="9" t="s">
        <v>49</v>
      </c>
      <c r="J202" s="9" t="s">
        <v>48</v>
      </c>
      <c r="K202" s="9" t="s">
        <v>880</v>
      </c>
      <c r="L202" s="9" t="s">
        <v>981</v>
      </c>
      <c r="M202" s="9"/>
      <c r="N202" s="9" t="s">
        <v>982</v>
      </c>
      <c r="O202" s="9" t="s">
        <v>983</v>
      </c>
    </row>
    <row r="203" spans="1:15">
      <c r="A203" s="9" t="s">
        <v>5</v>
      </c>
      <c r="B203" s="9" t="s">
        <v>924</v>
      </c>
      <c r="C203" s="9" t="s">
        <v>415</v>
      </c>
      <c r="D203" s="9" t="s">
        <v>416</v>
      </c>
      <c r="E203" s="9" t="s">
        <v>984</v>
      </c>
      <c r="F203" s="9" t="s">
        <v>47</v>
      </c>
      <c r="G203" s="9" t="s">
        <v>12</v>
      </c>
      <c r="H203" s="9" t="s">
        <v>49</v>
      </c>
      <c r="I203" s="9" t="s">
        <v>49</v>
      </c>
      <c r="J203" s="9" t="s">
        <v>48</v>
      </c>
      <c r="K203" s="9" t="s">
        <v>418</v>
      </c>
      <c r="L203" s="9" t="s">
        <v>415</v>
      </c>
      <c r="M203" s="9"/>
      <c r="N203" s="9"/>
      <c r="O203" s="9" t="s">
        <v>985</v>
      </c>
    </row>
    <row r="204" spans="1:15">
      <c r="A204" s="9" t="s">
        <v>5</v>
      </c>
      <c r="B204" s="9" t="s">
        <v>924</v>
      </c>
      <c r="C204" s="9" t="s">
        <v>68</v>
      </c>
      <c r="D204" s="9" t="s">
        <v>68</v>
      </c>
      <c r="E204" s="9" t="s">
        <v>986</v>
      </c>
      <c r="F204" s="9" t="s">
        <v>47</v>
      </c>
      <c r="G204" s="9" t="s">
        <v>12</v>
      </c>
      <c r="H204" s="9" t="s">
        <v>49</v>
      </c>
      <c r="I204" s="9" t="s">
        <v>49</v>
      </c>
      <c r="J204" s="9" t="s">
        <v>48</v>
      </c>
      <c r="K204" s="9" t="s">
        <v>554</v>
      </c>
      <c r="L204" s="9" t="s">
        <v>555</v>
      </c>
      <c r="M204" s="9" t="s">
        <v>422</v>
      </c>
      <c r="N204" s="9"/>
      <c r="O204" s="9" t="s">
        <v>987</v>
      </c>
    </row>
    <row r="205" spans="1:15">
      <c r="A205" s="9" t="s">
        <v>5</v>
      </c>
      <c r="B205" s="9" t="s">
        <v>988</v>
      </c>
      <c r="C205" s="9" t="s">
        <v>989</v>
      </c>
      <c r="D205" s="9" t="s">
        <v>990</v>
      </c>
      <c r="E205" s="9" t="s">
        <v>991</v>
      </c>
      <c r="F205" s="9" t="s">
        <v>47</v>
      </c>
      <c r="G205" s="9" t="s">
        <v>10</v>
      </c>
      <c r="H205" s="9" t="s">
        <v>48</v>
      </c>
      <c r="I205" s="9" t="s">
        <v>49</v>
      </c>
      <c r="J205" s="9" t="s">
        <v>48</v>
      </c>
      <c r="K205" s="9" t="s">
        <v>50</v>
      </c>
      <c r="L205" s="9" t="s">
        <v>992</v>
      </c>
      <c r="M205" s="9"/>
      <c r="N205" s="9"/>
      <c r="O205" s="9" t="s">
        <v>993</v>
      </c>
    </row>
    <row r="206" spans="1:15">
      <c r="A206" s="9" t="s">
        <v>5</v>
      </c>
      <c r="B206" s="9" t="s">
        <v>988</v>
      </c>
      <c r="C206" s="9" t="s">
        <v>994</v>
      </c>
      <c r="D206" s="9" t="s">
        <v>995</v>
      </c>
      <c r="E206" s="9" t="s">
        <v>996</v>
      </c>
      <c r="F206" s="9" t="s">
        <v>47</v>
      </c>
      <c r="G206" s="9" t="s">
        <v>10</v>
      </c>
      <c r="H206" s="9" t="s">
        <v>48</v>
      </c>
      <c r="I206" s="9" t="s">
        <v>49</v>
      </c>
      <c r="J206" s="9" t="s">
        <v>48</v>
      </c>
      <c r="K206" s="9" t="s">
        <v>887</v>
      </c>
      <c r="L206" s="9" t="s">
        <v>997</v>
      </c>
      <c r="M206" s="9"/>
      <c r="N206" s="9" t="s">
        <v>998</v>
      </c>
      <c r="O206" s="9" t="s">
        <v>999</v>
      </c>
    </row>
    <row r="207" spans="1:15">
      <c r="A207" s="9" t="s">
        <v>5</v>
      </c>
      <c r="B207" s="9" t="s">
        <v>988</v>
      </c>
      <c r="C207" s="9" t="s">
        <v>891</v>
      </c>
      <c r="D207" s="9" t="s">
        <v>891</v>
      </c>
      <c r="E207" s="9" t="s">
        <v>1000</v>
      </c>
      <c r="F207" s="9" t="s">
        <v>274</v>
      </c>
      <c r="G207" s="9" t="s">
        <v>10</v>
      </c>
      <c r="H207" s="9" t="s">
        <v>48</v>
      </c>
      <c r="I207" s="9" t="s">
        <v>49</v>
      </c>
      <c r="J207" s="9" t="s">
        <v>48</v>
      </c>
      <c r="K207" s="9" t="s">
        <v>893</v>
      </c>
      <c r="L207" s="9" t="s">
        <v>894</v>
      </c>
      <c r="M207" s="9"/>
      <c r="N207" s="9" t="s">
        <v>110</v>
      </c>
      <c r="O207" s="9" t="s">
        <v>1001</v>
      </c>
    </row>
    <row r="208" spans="1:15">
      <c r="A208" s="9" t="s">
        <v>5</v>
      </c>
      <c r="B208" s="9" t="s">
        <v>988</v>
      </c>
      <c r="C208" s="9" t="s">
        <v>1002</v>
      </c>
      <c r="D208" s="9" t="s">
        <v>1003</v>
      </c>
      <c r="E208" s="9" t="s">
        <v>1004</v>
      </c>
      <c r="F208" s="9" t="s">
        <v>47</v>
      </c>
      <c r="G208" s="9" t="s">
        <v>10</v>
      </c>
      <c r="H208" s="9" t="s">
        <v>48</v>
      </c>
      <c r="I208" s="9" t="s">
        <v>49</v>
      </c>
      <c r="J208" s="9" t="s">
        <v>48</v>
      </c>
      <c r="K208" s="9" t="s">
        <v>887</v>
      </c>
      <c r="L208" s="9" t="s">
        <v>1005</v>
      </c>
      <c r="M208" s="9"/>
      <c r="N208" s="9" t="s">
        <v>1006</v>
      </c>
      <c r="O208" s="9" t="s">
        <v>1007</v>
      </c>
    </row>
    <row r="209" spans="1:15">
      <c r="A209" s="9" t="s">
        <v>5</v>
      </c>
      <c r="B209" s="9" t="s">
        <v>988</v>
      </c>
      <c r="C209" s="9" t="s">
        <v>891</v>
      </c>
      <c r="D209" s="9" t="s">
        <v>891</v>
      </c>
      <c r="E209" s="9" t="s">
        <v>1008</v>
      </c>
      <c r="F209" s="9" t="s">
        <v>274</v>
      </c>
      <c r="G209" s="9" t="s">
        <v>10</v>
      </c>
      <c r="H209" s="9" t="s">
        <v>48</v>
      </c>
      <c r="I209" s="9" t="s">
        <v>49</v>
      </c>
      <c r="J209" s="9" t="s">
        <v>48</v>
      </c>
      <c r="K209" s="9" t="s">
        <v>893</v>
      </c>
      <c r="L209" s="9" t="s">
        <v>894</v>
      </c>
      <c r="M209" s="9"/>
      <c r="N209" s="9" t="s">
        <v>110</v>
      </c>
      <c r="O209" s="9" t="s">
        <v>1009</v>
      </c>
    </row>
    <row r="210" spans="1:15">
      <c r="A210" s="9" t="s">
        <v>5</v>
      </c>
      <c r="B210" s="9" t="s">
        <v>988</v>
      </c>
      <c r="C210" s="9" t="s">
        <v>1010</v>
      </c>
      <c r="D210" s="9" t="s">
        <v>1011</v>
      </c>
      <c r="E210" s="9" t="s">
        <v>1012</v>
      </c>
      <c r="F210" s="9" t="s">
        <v>47</v>
      </c>
      <c r="G210" s="9" t="s">
        <v>10</v>
      </c>
      <c r="H210" s="9" t="s">
        <v>48</v>
      </c>
      <c r="I210" s="9" t="s">
        <v>49</v>
      </c>
      <c r="J210" s="9" t="s">
        <v>48</v>
      </c>
      <c r="K210" s="9" t="s">
        <v>887</v>
      </c>
      <c r="L210" s="9" t="s">
        <v>1013</v>
      </c>
      <c r="M210" s="9"/>
      <c r="N210" s="9" t="s">
        <v>1014</v>
      </c>
      <c r="O210" s="9" t="s">
        <v>1015</v>
      </c>
    </row>
    <row r="211" spans="1:15">
      <c r="A211" s="9" t="s">
        <v>5</v>
      </c>
      <c r="B211" s="9" t="s">
        <v>988</v>
      </c>
      <c r="C211" s="9" t="s">
        <v>891</v>
      </c>
      <c r="D211" s="9" t="s">
        <v>891</v>
      </c>
      <c r="E211" s="9" t="s">
        <v>1016</v>
      </c>
      <c r="F211" s="9" t="s">
        <v>274</v>
      </c>
      <c r="G211" s="9" t="s">
        <v>10</v>
      </c>
      <c r="H211" s="9" t="s">
        <v>48</v>
      </c>
      <c r="I211" s="9" t="s">
        <v>49</v>
      </c>
      <c r="J211" s="9" t="s">
        <v>48</v>
      </c>
      <c r="K211" s="9" t="s">
        <v>893</v>
      </c>
      <c r="L211" s="9" t="s">
        <v>894</v>
      </c>
      <c r="M211" s="9"/>
      <c r="N211" s="9" t="s">
        <v>110</v>
      </c>
      <c r="O211" s="9" t="s">
        <v>1017</v>
      </c>
    </row>
    <row r="212" spans="1:15">
      <c r="A212" s="9" t="s">
        <v>5</v>
      </c>
      <c r="B212" s="9" t="s">
        <v>988</v>
      </c>
      <c r="C212" s="9" t="s">
        <v>1018</v>
      </c>
      <c r="D212" s="9" t="s">
        <v>1019</v>
      </c>
      <c r="E212" s="9" t="s">
        <v>1020</v>
      </c>
      <c r="F212" s="9" t="s">
        <v>83</v>
      </c>
      <c r="G212" s="9" t="s">
        <v>16</v>
      </c>
      <c r="H212" s="9" t="s">
        <v>49</v>
      </c>
      <c r="I212" s="9" t="s">
        <v>49</v>
      </c>
      <c r="J212" s="9" t="s">
        <v>48</v>
      </c>
      <c r="K212" s="9" t="s">
        <v>887</v>
      </c>
      <c r="L212" s="9" t="s">
        <v>1021</v>
      </c>
      <c r="M212" s="9"/>
      <c r="N212" s="9" t="s">
        <v>1022</v>
      </c>
      <c r="O212" s="9" t="s">
        <v>1023</v>
      </c>
    </row>
    <row r="213" spans="1:15">
      <c r="A213" s="9" t="s">
        <v>5</v>
      </c>
      <c r="B213" s="9" t="s">
        <v>988</v>
      </c>
      <c r="C213" s="9" t="s">
        <v>891</v>
      </c>
      <c r="D213" s="9" t="s">
        <v>891</v>
      </c>
      <c r="E213" s="9" t="s">
        <v>1024</v>
      </c>
      <c r="F213" s="9" t="s">
        <v>274</v>
      </c>
      <c r="G213" s="9" t="s">
        <v>12</v>
      </c>
      <c r="H213" s="9" t="s">
        <v>49</v>
      </c>
      <c r="I213" s="9" t="s">
        <v>49</v>
      </c>
      <c r="J213" s="9" t="s">
        <v>48</v>
      </c>
      <c r="K213" s="9" t="s">
        <v>893</v>
      </c>
      <c r="L213" s="9" t="s">
        <v>894</v>
      </c>
      <c r="M213" s="9"/>
      <c r="N213" s="9" t="s">
        <v>110</v>
      </c>
      <c r="O213" s="9" t="s">
        <v>1025</v>
      </c>
    </row>
    <row r="214" spans="1:15">
      <c r="A214" s="9" t="s">
        <v>5</v>
      </c>
      <c r="B214" s="9" t="s">
        <v>988</v>
      </c>
      <c r="C214" s="9" t="s">
        <v>1026</v>
      </c>
      <c r="D214" s="9" t="s">
        <v>1027</v>
      </c>
      <c r="E214" s="9" t="s">
        <v>1028</v>
      </c>
      <c r="F214" s="9" t="s">
        <v>83</v>
      </c>
      <c r="G214" s="9" t="s">
        <v>16</v>
      </c>
      <c r="H214" s="9" t="s">
        <v>49</v>
      </c>
      <c r="I214" s="9" t="s">
        <v>49</v>
      </c>
      <c r="J214" s="9" t="s">
        <v>48</v>
      </c>
      <c r="K214" s="9" t="s">
        <v>887</v>
      </c>
      <c r="L214" s="9" t="s">
        <v>1029</v>
      </c>
      <c r="M214" s="9"/>
      <c r="N214" s="9" t="s">
        <v>1030</v>
      </c>
      <c r="O214" s="9" t="s">
        <v>1031</v>
      </c>
    </row>
    <row r="215" spans="1:15">
      <c r="A215" s="9" t="s">
        <v>5</v>
      </c>
      <c r="B215" s="9" t="s">
        <v>988</v>
      </c>
      <c r="C215" s="9" t="s">
        <v>891</v>
      </c>
      <c r="D215" s="9" t="s">
        <v>891</v>
      </c>
      <c r="E215" s="9" t="s">
        <v>1032</v>
      </c>
      <c r="F215" s="9" t="s">
        <v>274</v>
      </c>
      <c r="G215" s="9" t="s">
        <v>12</v>
      </c>
      <c r="H215" s="9" t="s">
        <v>49</v>
      </c>
      <c r="I215" s="9" t="s">
        <v>49</v>
      </c>
      <c r="J215" s="9" t="s">
        <v>48</v>
      </c>
      <c r="K215" s="9" t="s">
        <v>893</v>
      </c>
      <c r="L215" s="9" t="s">
        <v>894</v>
      </c>
      <c r="M215" s="9"/>
      <c r="N215" s="9" t="s">
        <v>110</v>
      </c>
      <c r="O215" s="9" t="s">
        <v>1033</v>
      </c>
    </row>
    <row r="216" spans="1:15">
      <c r="A216" s="9" t="s">
        <v>5</v>
      </c>
      <c r="B216" s="9" t="s">
        <v>988</v>
      </c>
      <c r="C216" s="9" t="s">
        <v>1034</v>
      </c>
      <c r="D216" s="9" t="s">
        <v>1035</v>
      </c>
      <c r="E216" s="9" t="s">
        <v>1036</v>
      </c>
      <c r="F216" s="9" t="s">
        <v>83</v>
      </c>
      <c r="G216" s="9" t="s">
        <v>16</v>
      </c>
      <c r="H216" s="9" t="s">
        <v>49</v>
      </c>
      <c r="I216" s="9" t="s">
        <v>49</v>
      </c>
      <c r="J216" s="9" t="s">
        <v>48</v>
      </c>
      <c r="K216" s="9" t="s">
        <v>887</v>
      </c>
      <c r="L216" s="9" t="s">
        <v>1037</v>
      </c>
      <c r="M216" s="9"/>
      <c r="N216" s="9" t="s">
        <v>1038</v>
      </c>
      <c r="O216" s="9" t="s">
        <v>1039</v>
      </c>
    </row>
    <row r="217" spans="1:15">
      <c r="A217" s="9" t="s">
        <v>5</v>
      </c>
      <c r="B217" s="9" t="s">
        <v>988</v>
      </c>
      <c r="C217" s="9" t="s">
        <v>891</v>
      </c>
      <c r="D217" s="9" t="s">
        <v>891</v>
      </c>
      <c r="E217" s="9" t="s">
        <v>1040</v>
      </c>
      <c r="F217" s="9" t="s">
        <v>274</v>
      </c>
      <c r="G217" s="9" t="s">
        <v>12</v>
      </c>
      <c r="H217" s="9" t="s">
        <v>49</v>
      </c>
      <c r="I217" s="9" t="s">
        <v>49</v>
      </c>
      <c r="J217" s="9" t="s">
        <v>48</v>
      </c>
      <c r="K217" s="9" t="s">
        <v>893</v>
      </c>
      <c r="L217" s="9" t="s">
        <v>894</v>
      </c>
      <c r="M217" s="9"/>
      <c r="N217" s="9" t="s">
        <v>110</v>
      </c>
      <c r="O217" s="9" t="s">
        <v>1041</v>
      </c>
    </row>
    <row r="218" spans="1:15">
      <c r="A218" s="9" t="s">
        <v>5</v>
      </c>
      <c r="B218" s="9" t="s">
        <v>988</v>
      </c>
      <c r="C218" s="9" t="s">
        <v>1042</v>
      </c>
      <c r="D218" s="9" t="s">
        <v>1043</v>
      </c>
      <c r="E218" s="9" t="s">
        <v>1044</v>
      </c>
      <c r="F218" s="9" t="s">
        <v>83</v>
      </c>
      <c r="G218" s="9" t="s">
        <v>16</v>
      </c>
      <c r="H218" s="9" t="s">
        <v>49</v>
      </c>
      <c r="I218" s="9" t="s">
        <v>49</v>
      </c>
      <c r="J218" s="9" t="s">
        <v>48</v>
      </c>
      <c r="K218" s="9" t="s">
        <v>887</v>
      </c>
      <c r="L218" s="9" t="s">
        <v>1045</v>
      </c>
      <c r="M218" s="9"/>
      <c r="N218" s="9" t="s">
        <v>1030</v>
      </c>
      <c r="O218" s="9" t="s">
        <v>1046</v>
      </c>
    </row>
    <row r="219" spans="1:15">
      <c r="A219" s="9" t="s">
        <v>5</v>
      </c>
      <c r="B219" s="9" t="s">
        <v>988</v>
      </c>
      <c r="C219" s="9" t="s">
        <v>891</v>
      </c>
      <c r="D219" s="9" t="s">
        <v>891</v>
      </c>
      <c r="E219" s="9" t="s">
        <v>1047</v>
      </c>
      <c r="F219" s="9" t="s">
        <v>274</v>
      </c>
      <c r="G219" s="9" t="s">
        <v>12</v>
      </c>
      <c r="H219" s="9" t="s">
        <v>49</v>
      </c>
      <c r="I219" s="9" t="s">
        <v>49</v>
      </c>
      <c r="J219" s="9" t="s">
        <v>48</v>
      </c>
      <c r="K219" s="9" t="s">
        <v>893</v>
      </c>
      <c r="L219" s="9" t="s">
        <v>894</v>
      </c>
      <c r="M219" s="9"/>
      <c r="N219" s="9" t="s">
        <v>110</v>
      </c>
      <c r="O219" s="9" t="s">
        <v>1048</v>
      </c>
    </row>
    <row r="220" spans="1:15">
      <c r="A220" s="9" t="s">
        <v>5</v>
      </c>
      <c r="B220" s="9" t="s">
        <v>988</v>
      </c>
      <c r="C220" s="9" t="s">
        <v>1049</v>
      </c>
      <c r="D220" s="9" t="s">
        <v>1050</v>
      </c>
      <c r="E220" s="9" t="s">
        <v>1051</v>
      </c>
      <c r="F220" s="9" t="s">
        <v>47</v>
      </c>
      <c r="G220" s="9" t="s">
        <v>10</v>
      </c>
      <c r="H220" s="9" t="s">
        <v>48</v>
      </c>
      <c r="I220" s="9" t="s">
        <v>49</v>
      </c>
      <c r="J220" s="9" t="s">
        <v>48</v>
      </c>
      <c r="K220" s="9" t="s">
        <v>887</v>
      </c>
      <c r="L220" s="9" t="s">
        <v>1052</v>
      </c>
      <c r="M220" s="9"/>
      <c r="N220" s="9" t="s">
        <v>1053</v>
      </c>
      <c r="O220" s="9" t="s">
        <v>1054</v>
      </c>
    </row>
    <row r="221" spans="1:15">
      <c r="A221" s="9" t="s">
        <v>5</v>
      </c>
      <c r="B221" s="9" t="s">
        <v>988</v>
      </c>
      <c r="C221" s="9" t="s">
        <v>891</v>
      </c>
      <c r="D221" s="9" t="s">
        <v>891</v>
      </c>
      <c r="E221" s="9" t="s">
        <v>1055</v>
      </c>
      <c r="F221" s="9" t="s">
        <v>274</v>
      </c>
      <c r="G221" s="9" t="s">
        <v>10</v>
      </c>
      <c r="H221" s="9" t="s">
        <v>48</v>
      </c>
      <c r="I221" s="9" t="s">
        <v>49</v>
      </c>
      <c r="J221" s="9" t="s">
        <v>48</v>
      </c>
      <c r="K221" s="9" t="s">
        <v>893</v>
      </c>
      <c r="L221" s="9" t="s">
        <v>894</v>
      </c>
      <c r="M221" s="9"/>
      <c r="N221" s="9" t="s">
        <v>110</v>
      </c>
      <c r="O221" s="9" t="s">
        <v>1056</v>
      </c>
    </row>
    <row r="222" spans="1:15">
      <c r="A222" s="9" t="s">
        <v>5</v>
      </c>
      <c r="B222" s="9" t="s">
        <v>1057</v>
      </c>
      <c r="C222" s="9" t="s">
        <v>1058</v>
      </c>
      <c r="D222" s="9" t="s">
        <v>1059</v>
      </c>
      <c r="E222" s="9" t="s">
        <v>1060</v>
      </c>
      <c r="F222" s="9" t="s">
        <v>1061</v>
      </c>
      <c r="G222" s="9" t="s">
        <v>10</v>
      </c>
      <c r="H222" s="9" t="s">
        <v>48</v>
      </c>
      <c r="I222" s="9" t="s">
        <v>48</v>
      </c>
      <c r="J222" s="9" t="s">
        <v>48</v>
      </c>
      <c r="K222" s="9" t="s">
        <v>50</v>
      </c>
      <c r="L222" s="9" t="s">
        <v>1062</v>
      </c>
      <c r="M222" s="9"/>
      <c r="N222" s="9"/>
      <c r="O222" s="9" t="s">
        <v>1063</v>
      </c>
    </row>
    <row r="223" spans="1:15">
      <c r="A223" s="9" t="s">
        <v>5</v>
      </c>
      <c r="B223" s="9" t="s">
        <v>1057</v>
      </c>
      <c r="C223" s="9" t="s">
        <v>1064</v>
      </c>
      <c r="D223" s="9" t="s">
        <v>68</v>
      </c>
      <c r="E223" s="9" t="s">
        <v>1065</v>
      </c>
      <c r="F223" s="9" t="s">
        <v>47</v>
      </c>
      <c r="G223" s="9" t="s">
        <v>10</v>
      </c>
      <c r="H223" s="9" t="s">
        <v>48</v>
      </c>
      <c r="I223" s="9" t="s">
        <v>49</v>
      </c>
      <c r="J223" s="9" t="s">
        <v>48</v>
      </c>
      <c r="K223" s="9" t="s">
        <v>50</v>
      </c>
      <c r="L223" s="9" t="s">
        <v>1066</v>
      </c>
      <c r="M223" s="9"/>
      <c r="N223" s="9" t="s">
        <v>1067</v>
      </c>
      <c r="O223" s="9" t="s">
        <v>1068</v>
      </c>
    </row>
    <row r="224" spans="1:15">
      <c r="A224" s="9" t="s">
        <v>5</v>
      </c>
      <c r="B224" s="9" t="s">
        <v>1057</v>
      </c>
      <c r="C224" s="9" t="s">
        <v>1069</v>
      </c>
      <c r="D224" s="9" t="s">
        <v>95</v>
      </c>
      <c r="E224" s="9" t="s">
        <v>1070</v>
      </c>
      <c r="F224" s="9" t="s">
        <v>83</v>
      </c>
      <c r="G224" s="9" t="s">
        <v>16</v>
      </c>
      <c r="H224" s="9" t="s">
        <v>49</v>
      </c>
      <c r="I224" s="9" t="s">
        <v>49</v>
      </c>
      <c r="J224" s="9" t="s">
        <v>48</v>
      </c>
      <c r="K224" s="9" t="s">
        <v>50</v>
      </c>
      <c r="L224" s="9" t="s">
        <v>1071</v>
      </c>
      <c r="M224" s="9"/>
      <c r="N224" s="9" t="s">
        <v>1072</v>
      </c>
      <c r="O224" s="9" t="s">
        <v>1073</v>
      </c>
    </row>
    <row r="225" spans="1:15">
      <c r="A225" s="9" t="s">
        <v>5</v>
      </c>
      <c r="B225" s="9" t="s">
        <v>1057</v>
      </c>
      <c r="C225" s="9" t="s">
        <v>1074</v>
      </c>
      <c r="D225" s="9" t="s">
        <v>1075</v>
      </c>
      <c r="E225" s="9" t="s">
        <v>1076</v>
      </c>
      <c r="F225" s="9" t="s">
        <v>47</v>
      </c>
      <c r="G225" s="9" t="s">
        <v>10</v>
      </c>
      <c r="H225" s="9" t="s">
        <v>48</v>
      </c>
      <c r="I225" s="9" t="s">
        <v>49</v>
      </c>
      <c r="J225" s="9" t="s">
        <v>48</v>
      </c>
      <c r="K225" s="9" t="s">
        <v>880</v>
      </c>
      <c r="L225" s="9" t="s">
        <v>1077</v>
      </c>
      <c r="M225" s="9"/>
      <c r="N225" s="9" t="s">
        <v>1078</v>
      </c>
      <c r="O225" s="9" t="s">
        <v>1079</v>
      </c>
    </row>
    <row r="226" spans="1:15">
      <c r="A226" s="9" t="s">
        <v>5</v>
      </c>
      <c r="B226" s="9" t="s">
        <v>1057</v>
      </c>
      <c r="C226" s="9" t="s">
        <v>1080</v>
      </c>
      <c r="D226" s="9" t="s">
        <v>1081</v>
      </c>
      <c r="E226" s="9" t="s">
        <v>1082</v>
      </c>
      <c r="F226" s="9" t="s">
        <v>274</v>
      </c>
      <c r="G226" s="9" t="s">
        <v>10</v>
      </c>
      <c r="H226" s="9" t="s">
        <v>48</v>
      </c>
      <c r="I226" s="9" t="s">
        <v>49</v>
      </c>
      <c r="J226" s="9" t="s">
        <v>48</v>
      </c>
      <c r="K226" s="9" t="s">
        <v>1083</v>
      </c>
      <c r="L226" s="9" t="s">
        <v>1084</v>
      </c>
      <c r="M226" s="9"/>
      <c r="N226" s="9" t="s">
        <v>1085</v>
      </c>
      <c r="O226" s="9" t="s">
        <v>1086</v>
      </c>
    </row>
    <row r="227" spans="1:15">
      <c r="A227" s="9" t="s">
        <v>5</v>
      </c>
      <c r="B227" s="9" t="s">
        <v>1057</v>
      </c>
      <c r="C227" s="9" t="s">
        <v>1087</v>
      </c>
      <c r="D227" s="9" t="s">
        <v>995</v>
      </c>
      <c r="E227" s="9" t="s">
        <v>1088</v>
      </c>
      <c r="F227" s="9" t="s">
        <v>47</v>
      </c>
      <c r="G227" s="9" t="s">
        <v>10</v>
      </c>
      <c r="H227" s="9" t="s">
        <v>48</v>
      </c>
      <c r="I227" s="9" t="s">
        <v>49</v>
      </c>
      <c r="J227" s="9" t="s">
        <v>48</v>
      </c>
      <c r="K227" s="9" t="s">
        <v>887</v>
      </c>
      <c r="L227" s="9" t="s">
        <v>1089</v>
      </c>
      <c r="M227" s="9"/>
      <c r="N227" s="9" t="s">
        <v>1090</v>
      </c>
      <c r="O227" s="9" t="s">
        <v>1091</v>
      </c>
    </row>
    <row r="228" spans="1:15">
      <c r="A228" s="9" t="s">
        <v>5</v>
      </c>
      <c r="B228" s="9" t="s">
        <v>1057</v>
      </c>
      <c r="C228" s="9" t="s">
        <v>891</v>
      </c>
      <c r="D228" s="9" t="s">
        <v>891</v>
      </c>
      <c r="E228" s="9" t="s">
        <v>1092</v>
      </c>
      <c r="F228" s="9" t="s">
        <v>274</v>
      </c>
      <c r="G228" s="9" t="s">
        <v>10</v>
      </c>
      <c r="H228" s="9" t="s">
        <v>48</v>
      </c>
      <c r="I228" s="9" t="s">
        <v>49</v>
      </c>
      <c r="J228" s="9" t="s">
        <v>48</v>
      </c>
      <c r="K228" s="9" t="s">
        <v>893</v>
      </c>
      <c r="L228" s="9" t="s">
        <v>894</v>
      </c>
      <c r="M228" s="9"/>
      <c r="N228" s="9" t="s">
        <v>110</v>
      </c>
      <c r="O228" s="9" t="s">
        <v>1093</v>
      </c>
    </row>
    <row r="229" spans="1:15">
      <c r="A229" s="9" t="s">
        <v>5</v>
      </c>
      <c r="B229" s="9" t="s">
        <v>1057</v>
      </c>
      <c r="C229" s="9" t="s">
        <v>1094</v>
      </c>
      <c r="D229" s="9" t="s">
        <v>120</v>
      </c>
      <c r="E229" s="9" t="s">
        <v>1095</v>
      </c>
      <c r="F229" s="9" t="s">
        <v>83</v>
      </c>
      <c r="G229" s="9" t="s">
        <v>16</v>
      </c>
      <c r="H229" s="9" t="s">
        <v>49</v>
      </c>
      <c r="I229" s="9" t="s">
        <v>49</v>
      </c>
      <c r="J229" s="9" t="s">
        <v>48</v>
      </c>
      <c r="K229" s="9" t="s">
        <v>50</v>
      </c>
      <c r="L229" s="9" t="s">
        <v>122</v>
      </c>
      <c r="M229" s="9"/>
      <c r="N229" s="9" t="s">
        <v>1096</v>
      </c>
      <c r="O229" s="9" t="s">
        <v>1097</v>
      </c>
    </row>
    <row r="230" spans="1:15">
      <c r="A230" s="9" t="s">
        <v>5</v>
      </c>
      <c r="B230" s="9" t="s">
        <v>1057</v>
      </c>
      <c r="C230" s="9" t="s">
        <v>1098</v>
      </c>
      <c r="D230" s="9" t="s">
        <v>134</v>
      </c>
      <c r="E230" s="9" t="s">
        <v>1099</v>
      </c>
      <c r="F230" s="9" t="s">
        <v>83</v>
      </c>
      <c r="G230" s="9" t="s">
        <v>16</v>
      </c>
      <c r="H230" s="9" t="s">
        <v>49</v>
      </c>
      <c r="I230" s="9" t="s">
        <v>49</v>
      </c>
      <c r="J230" s="9" t="s">
        <v>48</v>
      </c>
      <c r="K230" s="9" t="s">
        <v>50</v>
      </c>
      <c r="L230" s="9" t="s">
        <v>1100</v>
      </c>
      <c r="M230" s="9"/>
      <c r="N230" s="9"/>
      <c r="O230" s="9" t="s">
        <v>1101</v>
      </c>
    </row>
    <row r="231" spans="1:15">
      <c r="A231" s="9" t="s">
        <v>5</v>
      </c>
      <c r="B231" s="9" t="s">
        <v>1057</v>
      </c>
      <c r="C231" s="9" t="s">
        <v>1102</v>
      </c>
      <c r="D231" s="9" t="s">
        <v>140</v>
      </c>
      <c r="E231" s="9" t="s">
        <v>1103</v>
      </c>
      <c r="F231" s="9" t="s">
        <v>83</v>
      </c>
      <c r="G231" s="9" t="s">
        <v>16</v>
      </c>
      <c r="H231" s="9" t="s">
        <v>49</v>
      </c>
      <c r="I231" s="9" t="s">
        <v>49</v>
      </c>
      <c r="J231" s="9" t="s">
        <v>48</v>
      </c>
      <c r="K231" s="9" t="s">
        <v>76</v>
      </c>
      <c r="L231" s="9" t="s">
        <v>1104</v>
      </c>
      <c r="M231" s="9"/>
      <c r="N231" s="9" t="s">
        <v>1105</v>
      </c>
      <c r="O231" s="9" t="s">
        <v>1106</v>
      </c>
    </row>
    <row r="232" spans="1:15">
      <c r="A232" s="9" t="s">
        <v>5</v>
      </c>
      <c r="B232" s="9" t="s">
        <v>1057</v>
      </c>
      <c r="C232" s="9" t="s">
        <v>1107</v>
      </c>
      <c r="D232" s="9" t="s">
        <v>146</v>
      </c>
      <c r="E232" s="9" t="s">
        <v>1108</v>
      </c>
      <c r="F232" s="9" t="s">
        <v>83</v>
      </c>
      <c r="G232" s="9" t="s">
        <v>16</v>
      </c>
      <c r="H232" s="9" t="s">
        <v>49</v>
      </c>
      <c r="I232" s="9" t="s">
        <v>49</v>
      </c>
      <c r="J232" s="9" t="s">
        <v>48</v>
      </c>
      <c r="K232" s="9" t="s">
        <v>76</v>
      </c>
      <c r="L232" s="9" t="s">
        <v>1109</v>
      </c>
      <c r="M232" s="9"/>
      <c r="N232" s="9" t="s">
        <v>1110</v>
      </c>
      <c r="O232" s="9" t="s">
        <v>1111</v>
      </c>
    </row>
    <row r="233" spans="1:15">
      <c r="A233" s="9" t="s">
        <v>5</v>
      </c>
      <c r="B233" s="9" t="s">
        <v>1057</v>
      </c>
      <c r="C233" s="9" t="s">
        <v>1112</v>
      </c>
      <c r="D233" s="9" t="s">
        <v>1113</v>
      </c>
      <c r="E233" s="9" t="s">
        <v>1114</v>
      </c>
      <c r="F233" s="9" t="s">
        <v>83</v>
      </c>
      <c r="G233" s="9" t="s">
        <v>16</v>
      </c>
      <c r="H233" s="9" t="s">
        <v>49</v>
      </c>
      <c r="I233" s="9" t="s">
        <v>49</v>
      </c>
      <c r="J233" s="9" t="s">
        <v>48</v>
      </c>
      <c r="K233" s="9" t="s">
        <v>50</v>
      </c>
      <c r="L233" s="9" t="s">
        <v>1112</v>
      </c>
      <c r="M233" s="9"/>
      <c r="N233" s="9"/>
      <c r="O233" s="9" t="s">
        <v>1115</v>
      </c>
    </row>
    <row r="234" spans="1:15">
      <c r="A234" s="9" t="s">
        <v>5</v>
      </c>
      <c r="B234" s="9" t="s">
        <v>1057</v>
      </c>
      <c r="C234" s="9" t="s">
        <v>1116</v>
      </c>
      <c r="D234" s="9" t="s">
        <v>1117</v>
      </c>
      <c r="E234" s="9" t="s">
        <v>1118</v>
      </c>
      <c r="F234" s="9" t="s">
        <v>47</v>
      </c>
      <c r="G234" s="9" t="s">
        <v>12</v>
      </c>
      <c r="H234" s="9" t="s">
        <v>49</v>
      </c>
      <c r="I234" s="9" t="s">
        <v>49</v>
      </c>
      <c r="J234" s="9" t="s">
        <v>48</v>
      </c>
      <c r="K234" s="9" t="s">
        <v>50</v>
      </c>
      <c r="L234" s="9" t="s">
        <v>1119</v>
      </c>
      <c r="M234" s="9"/>
      <c r="N234" s="9" t="s">
        <v>23</v>
      </c>
      <c r="O234" s="9" t="s">
        <v>1120</v>
      </c>
    </row>
    <row r="235" spans="1:15">
      <c r="A235" s="9" t="s">
        <v>5</v>
      </c>
      <c r="B235" s="9" t="s">
        <v>1057</v>
      </c>
      <c r="C235" s="9" t="s">
        <v>1121</v>
      </c>
      <c r="D235" s="9" t="s">
        <v>1122</v>
      </c>
      <c r="E235" s="9" t="s">
        <v>1123</v>
      </c>
      <c r="F235" s="9" t="s">
        <v>83</v>
      </c>
      <c r="G235" s="9" t="s">
        <v>16</v>
      </c>
      <c r="H235" s="9" t="s">
        <v>49</v>
      </c>
      <c r="I235" s="9" t="s">
        <v>49</v>
      </c>
      <c r="J235" s="9" t="s">
        <v>48</v>
      </c>
      <c r="K235" s="9" t="s">
        <v>50</v>
      </c>
      <c r="L235" s="9" t="s">
        <v>1121</v>
      </c>
      <c r="M235" s="9"/>
      <c r="N235" s="9"/>
      <c r="O235" s="9" t="s">
        <v>1124</v>
      </c>
    </row>
    <row r="236" spans="1:15">
      <c r="A236" s="9" t="s">
        <v>5</v>
      </c>
      <c r="B236" s="9" t="s">
        <v>1057</v>
      </c>
      <c r="C236" s="9" t="s">
        <v>1125</v>
      </c>
      <c r="D236" s="9" t="s">
        <v>68</v>
      </c>
      <c r="E236" s="9" t="s">
        <v>1126</v>
      </c>
      <c r="F236" s="9" t="s">
        <v>47</v>
      </c>
      <c r="G236" s="9" t="s">
        <v>12</v>
      </c>
      <c r="H236" s="9" t="s">
        <v>49</v>
      </c>
      <c r="I236" s="9" t="s">
        <v>49</v>
      </c>
      <c r="J236" s="9" t="s">
        <v>48</v>
      </c>
      <c r="K236" s="9" t="s">
        <v>50</v>
      </c>
      <c r="L236" s="9" t="s">
        <v>1127</v>
      </c>
      <c r="M236" s="9"/>
      <c r="N236" s="9" t="s">
        <v>1128</v>
      </c>
      <c r="O236" s="9" t="s">
        <v>1129</v>
      </c>
    </row>
    <row r="237" spans="1:15">
      <c r="A237" s="9" t="s">
        <v>5</v>
      </c>
      <c r="B237" s="9" t="s">
        <v>1057</v>
      </c>
      <c r="C237" s="9" t="s">
        <v>1130</v>
      </c>
      <c r="D237" s="9" t="s">
        <v>241</v>
      </c>
      <c r="E237" s="9" t="s">
        <v>1131</v>
      </c>
      <c r="F237" s="9" t="s">
        <v>243</v>
      </c>
      <c r="G237" s="9" t="s">
        <v>16</v>
      </c>
      <c r="H237" s="9" t="s">
        <v>49</v>
      </c>
      <c r="I237" s="9" t="s">
        <v>49</v>
      </c>
      <c r="J237" s="9" t="s">
        <v>48</v>
      </c>
      <c r="K237" s="9" t="s">
        <v>244</v>
      </c>
      <c r="L237" s="9" t="s">
        <v>1132</v>
      </c>
      <c r="M237" s="9"/>
      <c r="N237" s="9" t="s">
        <v>1133</v>
      </c>
      <c r="O237" s="9" t="s">
        <v>1134</v>
      </c>
    </row>
    <row r="238" spans="1:15">
      <c r="A238" s="9" t="s">
        <v>5</v>
      </c>
      <c r="B238" s="9" t="s">
        <v>1057</v>
      </c>
      <c r="C238" s="9" t="s">
        <v>248</v>
      </c>
      <c r="D238" s="9" t="s">
        <v>249</v>
      </c>
      <c r="E238" s="9" t="s">
        <v>1135</v>
      </c>
      <c r="F238" s="9" t="s">
        <v>47</v>
      </c>
      <c r="G238" s="9" t="s">
        <v>12</v>
      </c>
      <c r="H238" s="9" t="s">
        <v>49</v>
      </c>
      <c r="I238" s="9" t="s">
        <v>49</v>
      </c>
      <c r="J238" s="9" t="s">
        <v>48</v>
      </c>
      <c r="K238" s="9" t="s">
        <v>251</v>
      </c>
      <c r="L238" s="9" t="s">
        <v>252</v>
      </c>
      <c r="M238" s="9" t="s">
        <v>253</v>
      </c>
      <c r="N238" s="9"/>
      <c r="O238" s="9" t="s">
        <v>1136</v>
      </c>
    </row>
    <row r="239" spans="1:15">
      <c r="A239" s="9" t="s">
        <v>5</v>
      </c>
      <c r="B239" s="9" t="s">
        <v>1057</v>
      </c>
      <c r="C239" s="9" t="s">
        <v>1137</v>
      </c>
      <c r="D239" s="9" t="s">
        <v>856</v>
      </c>
      <c r="E239" s="9" t="s">
        <v>1138</v>
      </c>
      <c r="F239" s="9" t="s">
        <v>176</v>
      </c>
      <c r="G239" s="9" t="s">
        <v>16</v>
      </c>
      <c r="H239" s="9" t="s">
        <v>49</v>
      </c>
      <c r="I239" s="9" t="s">
        <v>48</v>
      </c>
      <c r="J239" s="9" t="s">
        <v>48</v>
      </c>
      <c r="K239" s="9" t="s">
        <v>50</v>
      </c>
      <c r="L239" s="9" t="s">
        <v>1139</v>
      </c>
      <c r="M239" s="9"/>
      <c r="N239" s="9"/>
      <c r="O239" s="9" t="s">
        <v>1140</v>
      </c>
    </row>
    <row r="240" spans="1:15">
      <c r="A240" s="9" t="s">
        <v>5</v>
      </c>
      <c r="B240" s="9" t="s">
        <v>1057</v>
      </c>
      <c r="C240" s="9" t="s">
        <v>860</v>
      </c>
      <c r="D240" s="9" t="s">
        <v>860</v>
      </c>
      <c r="E240" s="9" t="s">
        <v>1141</v>
      </c>
      <c r="F240" s="9" t="s">
        <v>47</v>
      </c>
      <c r="G240" s="9" t="s">
        <v>12</v>
      </c>
      <c r="H240" s="9" t="s">
        <v>49</v>
      </c>
      <c r="I240" s="9" t="s">
        <v>49</v>
      </c>
      <c r="J240" s="9" t="s">
        <v>48</v>
      </c>
      <c r="K240" s="9" t="s">
        <v>50</v>
      </c>
      <c r="L240" s="9" t="s">
        <v>1142</v>
      </c>
      <c r="M240" s="9"/>
      <c r="N240" s="9" t="s">
        <v>863</v>
      </c>
      <c r="O240" s="9" t="s">
        <v>1143</v>
      </c>
    </row>
    <row r="241" spans="1:15">
      <c r="A241" s="9" t="s">
        <v>5</v>
      </c>
      <c r="B241" s="9" t="s">
        <v>1057</v>
      </c>
      <c r="C241" s="9" t="s">
        <v>1144</v>
      </c>
      <c r="D241" s="9" t="s">
        <v>866</v>
      </c>
      <c r="E241" s="9" t="s">
        <v>1145</v>
      </c>
      <c r="F241" s="9" t="s">
        <v>83</v>
      </c>
      <c r="G241" s="9" t="s">
        <v>16</v>
      </c>
      <c r="H241" s="9" t="s">
        <v>49</v>
      </c>
      <c r="I241" s="9" t="s">
        <v>49</v>
      </c>
      <c r="J241" s="9" t="s">
        <v>48</v>
      </c>
      <c r="K241" s="9" t="s">
        <v>50</v>
      </c>
      <c r="L241" s="9" t="s">
        <v>1146</v>
      </c>
      <c r="M241" s="9"/>
      <c r="N241" s="9" t="s">
        <v>869</v>
      </c>
      <c r="O241" s="9" t="s">
        <v>1147</v>
      </c>
    </row>
    <row r="242" spans="1:15">
      <c r="A242" s="9" t="s">
        <v>5</v>
      </c>
      <c r="B242" s="9" t="s">
        <v>1057</v>
      </c>
      <c r="C242" s="9" t="s">
        <v>1148</v>
      </c>
      <c r="D242" s="9" t="s">
        <v>872</v>
      </c>
      <c r="E242" s="9" t="s">
        <v>1149</v>
      </c>
      <c r="F242" s="9" t="s">
        <v>83</v>
      </c>
      <c r="G242" s="9" t="s">
        <v>16</v>
      </c>
      <c r="H242" s="9" t="s">
        <v>49</v>
      </c>
      <c r="I242" s="9" t="s">
        <v>49</v>
      </c>
      <c r="J242" s="9" t="s">
        <v>48</v>
      </c>
      <c r="K242" s="9" t="s">
        <v>50</v>
      </c>
      <c r="L242" s="9" t="s">
        <v>1150</v>
      </c>
      <c r="M242" s="9"/>
      <c r="N242" s="9" t="s">
        <v>875</v>
      </c>
      <c r="O242" s="9" t="s">
        <v>1151</v>
      </c>
    </row>
    <row r="243" spans="1:15">
      <c r="A243" s="9" t="s">
        <v>5</v>
      </c>
      <c r="B243" s="9" t="s">
        <v>1057</v>
      </c>
      <c r="C243" s="9" t="s">
        <v>1152</v>
      </c>
      <c r="D243" s="9" t="s">
        <v>878</v>
      </c>
      <c r="E243" s="9" t="s">
        <v>1153</v>
      </c>
      <c r="F243" s="9" t="s">
        <v>83</v>
      </c>
      <c r="G243" s="9" t="s">
        <v>16</v>
      </c>
      <c r="H243" s="9" t="s">
        <v>49</v>
      </c>
      <c r="I243" s="9" t="s">
        <v>49</v>
      </c>
      <c r="J243" s="9" t="s">
        <v>48</v>
      </c>
      <c r="K243" s="9" t="s">
        <v>880</v>
      </c>
      <c r="L243" s="9" t="s">
        <v>1154</v>
      </c>
      <c r="M243" s="9"/>
      <c r="N243" s="9" t="s">
        <v>882</v>
      </c>
      <c r="O243" s="9" t="s">
        <v>1155</v>
      </c>
    </row>
    <row r="244" spans="1:15">
      <c r="A244" s="9" t="s">
        <v>5</v>
      </c>
      <c r="B244" s="9" t="s">
        <v>1057</v>
      </c>
      <c r="C244" s="9" t="s">
        <v>1156</v>
      </c>
      <c r="D244" s="9" t="s">
        <v>885</v>
      </c>
      <c r="E244" s="9" t="s">
        <v>1157</v>
      </c>
      <c r="F244" s="9" t="s">
        <v>47</v>
      </c>
      <c r="G244" s="9" t="s">
        <v>12</v>
      </c>
      <c r="H244" s="9" t="s">
        <v>49</v>
      </c>
      <c r="I244" s="9" t="s">
        <v>49</v>
      </c>
      <c r="J244" s="9" t="s">
        <v>48</v>
      </c>
      <c r="K244" s="9" t="s">
        <v>887</v>
      </c>
      <c r="L244" s="9" t="s">
        <v>888</v>
      </c>
      <c r="M244" s="9"/>
      <c r="N244" s="9" t="s">
        <v>889</v>
      </c>
      <c r="O244" s="9" t="s">
        <v>1158</v>
      </c>
    </row>
    <row r="245" spans="1:15">
      <c r="A245" s="9" t="s">
        <v>5</v>
      </c>
      <c r="B245" s="9" t="s">
        <v>1057</v>
      </c>
      <c r="C245" s="9" t="s">
        <v>891</v>
      </c>
      <c r="D245" s="9" t="s">
        <v>891</v>
      </c>
      <c r="E245" s="9" t="s">
        <v>1159</v>
      </c>
      <c r="F245" s="9" t="s">
        <v>274</v>
      </c>
      <c r="G245" s="9" t="s">
        <v>12</v>
      </c>
      <c r="H245" s="9" t="s">
        <v>49</v>
      </c>
      <c r="I245" s="9" t="s">
        <v>49</v>
      </c>
      <c r="J245" s="9" t="s">
        <v>48</v>
      </c>
      <c r="K245" s="9" t="s">
        <v>893</v>
      </c>
      <c r="L245" s="9" t="s">
        <v>894</v>
      </c>
      <c r="M245" s="9"/>
      <c r="N245" s="9" t="s">
        <v>110</v>
      </c>
      <c r="O245" s="9" t="s">
        <v>1160</v>
      </c>
    </row>
    <row r="246" spans="1:15">
      <c r="A246" s="9" t="s">
        <v>5</v>
      </c>
      <c r="B246" s="9" t="s">
        <v>1057</v>
      </c>
      <c r="C246" s="9" t="s">
        <v>1161</v>
      </c>
      <c r="D246" s="9" t="s">
        <v>897</v>
      </c>
      <c r="E246" s="9" t="s">
        <v>1162</v>
      </c>
      <c r="F246" s="9" t="s">
        <v>83</v>
      </c>
      <c r="G246" s="9" t="s">
        <v>16</v>
      </c>
      <c r="H246" s="9" t="s">
        <v>49</v>
      </c>
      <c r="I246" s="9" t="s">
        <v>49</v>
      </c>
      <c r="J246" s="9" t="s">
        <v>48</v>
      </c>
      <c r="K246" s="9" t="s">
        <v>887</v>
      </c>
      <c r="L246" s="9" t="s">
        <v>1163</v>
      </c>
      <c r="M246" s="9"/>
      <c r="N246" s="9" t="s">
        <v>900</v>
      </c>
      <c r="O246" s="9" t="s">
        <v>1164</v>
      </c>
    </row>
    <row r="247" spans="1:15">
      <c r="A247" s="9" t="s">
        <v>5</v>
      </c>
      <c r="B247" s="9" t="s">
        <v>1057</v>
      </c>
      <c r="C247" s="9" t="s">
        <v>891</v>
      </c>
      <c r="D247" s="9" t="s">
        <v>891</v>
      </c>
      <c r="E247" s="9" t="s">
        <v>1165</v>
      </c>
      <c r="F247" s="9" t="s">
        <v>274</v>
      </c>
      <c r="G247" s="9" t="s">
        <v>12</v>
      </c>
      <c r="H247" s="9" t="s">
        <v>49</v>
      </c>
      <c r="I247" s="9" t="s">
        <v>49</v>
      </c>
      <c r="J247" s="9" t="s">
        <v>48</v>
      </c>
      <c r="K247" s="9" t="s">
        <v>893</v>
      </c>
      <c r="L247" s="9" t="s">
        <v>894</v>
      </c>
      <c r="M247" s="9"/>
      <c r="N247" s="9" t="s">
        <v>110</v>
      </c>
      <c r="O247" s="9" t="s">
        <v>1166</v>
      </c>
    </row>
    <row r="248" spans="1:15">
      <c r="A248" s="9" t="s">
        <v>5</v>
      </c>
      <c r="B248" s="9" t="s">
        <v>1057</v>
      </c>
      <c r="C248" s="9" t="s">
        <v>1167</v>
      </c>
      <c r="D248" s="9" t="s">
        <v>1168</v>
      </c>
      <c r="E248" s="9" t="s">
        <v>1169</v>
      </c>
      <c r="F248" s="9" t="s">
        <v>47</v>
      </c>
      <c r="G248" s="9" t="s">
        <v>10</v>
      </c>
      <c r="H248" s="9" t="s">
        <v>48</v>
      </c>
      <c r="I248" s="9" t="s">
        <v>49</v>
      </c>
      <c r="J248" s="9" t="s">
        <v>48</v>
      </c>
      <c r="K248" s="9" t="s">
        <v>50</v>
      </c>
      <c r="L248" s="9" t="s">
        <v>1170</v>
      </c>
      <c r="M248" s="9"/>
      <c r="N248" s="9"/>
      <c r="O248" s="9" t="s">
        <v>1171</v>
      </c>
    </row>
    <row r="249" spans="1:15">
      <c r="A249" s="9" t="s">
        <v>5</v>
      </c>
      <c r="B249" s="9" t="s">
        <v>1057</v>
      </c>
      <c r="C249" s="9" t="s">
        <v>1172</v>
      </c>
      <c r="D249" s="9" t="s">
        <v>1173</v>
      </c>
      <c r="E249" s="9" t="s">
        <v>1174</v>
      </c>
      <c r="F249" s="9" t="s">
        <v>83</v>
      </c>
      <c r="G249" s="9" t="s">
        <v>16</v>
      </c>
      <c r="H249" s="9" t="s">
        <v>49</v>
      </c>
      <c r="I249" s="9" t="s">
        <v>49</v>
      </c>
      <c r="J249" s="9" t="s">
        <v>48</v>
      </c>
      <c r="K249" s="9" t="s">
        <v>50</v>
      </c>
      <c r="L249" s="9" t="s">
        <v>1175</v>
      </c>
      <c r="M249" s="9"/>
      <c r="N249" s="9" t="s">
        <v>1176</v>
      </c>
      <c r="O249" s="9" t="s">
        <v>1177</v>
      </c>
    </row>
    <row r="250" spans="1:15">
      <c r="A250" s="9" t="s">
        <v>5</v>
      </c>
      <c r="B250" s="9" t="s">
        <v>1057</v>
      </c>
      <c r="C250" s="9" t="s">
        <v>1178</v>
      </c>
      <c r="D250" s="9" t="s">
        <v>344</v>
      </c>
      <c r="E250" s="9" t="s">
        <v>1179</v>
      </c>
      <c r="F250" s="9" t="s">
        <v>47</v>
      </c>
      <c r="G250" s="9" t="s">
        <v>10</v>
      </c>
      <c r="H250" s="9" t="s">
        <v>48</v>
      </c>
      <c r="I250" s="9" t="s">
        <v>49</v>
      </c>
      <c r="J250" s="9" t="s">
        <v>48</v>
      </c>
      <c r="K250" s="9" t="s">
        <v>50</v>
      </c>
      <c r="L250" s="9" t="s">
        <v>1180</v>
      </c>
      <c r="M250" s="9"/>
      <c r="N250" s="9" t="s">
        <v>1178</v>
      </c>
      <c r="O250" s="9" t="s">
        <v>1181</v>
      </c>
    </row>
    <row r="251" spans="1:15">
      <c r="A251" s="9" t="s">
        <v>5</v>
      </c>
      <c r="B251" s="9" t="s">
        <v>1057</v>
      </c>
      <c r="C251" s="9" t="s">
        <v>1182</v>
      </c>
      <c r="D251" s="9" t="s">
        <v>1183</v>
      </c>
      <c r="E251" s="9" t="s">
        <v>1184</v>
      </c>
      <c r="F251" s="9" t="s">
        <v>83</v>
      </c>
      <c r="G251" s="9" t="s">
        <v>16</v>
      </c>
      <c r="H251" s="9" t="s">
        <v>49</v>
      </c>
      <c r="I251" s="9" t="s">
        <v>49</v>
      </c>
      <c r="J251" s="9" t="s">
        <v>48</v>
      </c>
      <c r="K251" s="9" t="s">
        <v>50</v>
      </c>
      <c r="L251" s="9" t="s">
        <v>1182</v>
      </c>
      <c r="M251" s="9"/>
      <c r="N251" s="9"/>
      <c r="O251" s="9" t="s">
        <v>1185</v>
      </c>
    </row>
    <row r="252" spans="1:15">
      <c r="A252" s="9" t="s">
        <v>5</v>
      </c>
      <c r="B252" s="9" t="s">
        <v>1057</v>
      </c>
      <c r="C252" s="9" t="s">
        <v>1186</v>
      </c>
      <c r="D252" s="9" t="s">
        <v>68</v>
      </c>
      <c r="E252" s="9" t="s">
        <v>1187</v>
      </c>
      <c r="F252" s="9" t="s">
        <v>47</v>
      </c>
      <c r="G252" s="9" t="s">
        <v>12</v>
      </c>
      <c r="H252" s="9" t="s">
        <v>49</v>
      </c>
      <c r="I252" s="9" t="s">
        <v>49</v>
      </c>
      <c r="J252" s="9" t="s">
        <v>48</v>
      </c>
      <c r="K252" s="9" t="s">
        <v>50</v>
      </c>
      <c r="L252" s="9" t="s">
        <v>1188</v>
      </c>
      <c r="M252" s="9"/>
      <c r="N252" s="9" t="s">
        <v>1189</v>
      </c>
      <c r="O252" s="9" t="s">
        <v>1190</v>
      </c>
    </row>
    <row r="253" spans="1:15">
      <c r="A253" s="9" t="s">
        <v>5</v>
      </c>
      <c r="B253" s="9" t="s">
        <v>1057</v>
      </c>
      <c r="C253" s="9" t="s">
        <v>1191</v>
      </c>
      <c r="D253" s="9" t="s">
        <v>1192</v>
      </c>
      <c r="E253" s="9" t="s">
        <v>1193</v>
      </c>
      <c r="F253" s="9" t="s">
        <v>83</v>
      </c>
      <c r="G253" s="9" t="s">
        <v>16</v>
      </c>
      <c r="H253" s="9" t="s">
        <v>49</v>
      </c>
      <c r="I253" s="9" t="s">
        <v>49</v>
      </c>
      <c r="J253" s="9" t="s">
        <v>48</v>
      </c>
      <c r="K253" s="9" t="s">
        <v>50</v>
      </c>
      <c r="L253" s="9" t="s">
        <v>1191</v>
      </c>
      <c r="M253" s="9"/>
      <c r="N253" s="9"/>
      <c r="O253" s="9" t="s">
        <v>1194</v>
      </c>
    </row>
    <row r="254" spans="1:15">
      <c r="A254" s="9" t="s">
        <v>5</v>
      </c>
      <c r="B254" s="9" t="s">
        <v>1057</v>
      </c>
      <c r="C254" s="9" t="s">
        <v>1195</v>
      </c>
      <c r="D254" s="9" t="s">
        <v>68</v>
      </c>
      <c r="E254" s="9" t="s">
        <v>1196</v>
      </c>
      <c r="F254" s="9" t="s">
        <v>47</v>
      </c>
      <c r="G254" s="9" t="s">
        <v>12</v>
      </c>
      <c r="H254" s="9" t="s">
        <v>49</v>
      </c>
      <c r="I254" s="9" t="s">
        <v>49</v>
      </c>
      <c r="J254" s="9" t="s">
        <v>48</v>
      </c>
      <c r="K254" s="9" t="s">
        <v>50</v>
      </c>
      <c r="L254" s="9" t="s">
        <v>1197</v>
      </c>
      <c r="M254" s="9"/>
      <c r="N254" s="9" t="s">
        <v>1198</v>
      </c>
      <c r="O254" s="9" t="s">
        <v>1199</v>
      </c>
    </row>
    <row r="255" spans="1:15">
      <c r="A255" s="9" t="s">
        <v>5</v>
      </c>
      <c r="B255" s="9" t="s">
        <v>1057</v>
      </c>
      <c r="C255" s="9" t="s">
        <v>1200</v>
      </c>
      <c r="D255" s="9" t="s">
        <v>1201</v>
      </c>
      <c r="E255" s="9" t="s">
        <v>1202</v>
      </c>
      <c r="F255" s="9" t="s">
        <v>83</v>
      </c>
      <c r="G255" s="9" t="s">
        <v>16</v>
      </c>
      <c r="H255" s="9" t="s">
        <v>49</v>
      </c>
      <c r="I255" s="9" t="s">
        <v>49</v>
      </c>
      <c r="J255" s="9" t="s">
        <v>48</v>
      </c>
      <c r="K255" s="9" t="s">
        <v>50</v>
      </c>
      <c r="L255" s="9" t="s">
        <v>1200</v>
      </c>
      <c r="M255" s="9"/>
      <c r="N255" s="9"/>
      <c r="O255" s="9" t="s">
        <v>1203</v>
      </c>
    </row>
    <row r="256" spans="1:15">
      <c r="A256" s="9" t="s">
        <v>5</v>
      </c>
      <c r="B256" s="9" t="s">
        <v>1057</v>
      </c>
      <c r="C256" s="9" t="s">
        <v>1204</v>
      </c>
      <c r="D256" s="9" t="s">
        <v>68</v>
      </c>
      <c r="E256" s="9" t="s">
        <v>1205</v>
      </c>
      <c r="F256" s="9" t="s">
        <v>47</v>
      </c>
      <c r="G256" s="9" t="s">
        <v>12</v>
      </c>
      <c r="H256" s="9" t="s">
        <v>49</v>
      </c>
      <c r="I256" s="9" t="s">
        <v>49</v>
      </c>
      <c r="J256" s="9" t="s">
        <v>48</v>
      </c>
      <c r="K256" s="9" t="s">
        <v>50</v>
      </c>
      <c r="L256" s="9" t="s">
        <v>1206</v>
      </c>
      <c r="M256" s="9"/>
      <c r="N256" s="9" t="s">
        <v>1207</v>
      </c>
      <c r="O256" s="9" t="s">
        <v>1208</v>
      </c>
    </row>
    <row r="257" spans="1:15">
      <c r="A257" s="9" t="s">
        <v>5</v>
      </c>
      <c r="B257" s="9" t="s">
        <v>1057</v>
      </c>
      <c r="C257" s="9" t="s">
        <v>1209</v>
      </c>
      <c r="D257" s="9" t="s">
        <v>241</v>
      </c>
      <c r="E257" s="9" t="s">
        <v>1210</v>
      </c>
      <c r="F257" s="9" t="s">
        <v>274</v>
      </c>
      <c r="G257" s="9" t="s">
        <v>12</v>
      </c>
      <c r="H257" s="9" t="s">
        <v>49</v>
      </c>
      <c r="I257" s="9" t="s">
        <v>49</v>
      </c>
      <c r="J257" s="9" t="s">
        <v>48</v>
      </c>
      <c r="K257" s="9" t="s">
        <v>244</v>
      </c>
      <c r="L257" s="9" t="s">
        <v>1211</v>
      </c>
      <c r="M257" s="9"/>
      <c r="N257" s="9" t="s">
        <v>1212</v>
      </c>
      <c r="O257" s="9" t="s">
        <v>1213</v>
      </c>
    </row>
    <row r="258" spans="1:15">
      <c r="A258" s="9" t="s">
        <v>5</v>
      </c>
      <c r="B258" s="9" t="s">
        <v>1057</v>
      </c>
      <c r="C258" s="9" t="s">
        <v>1214</v>
      </c>
      <c r="D258" s="9" t="s">
        <v>1215</v>
      </c>
      <c r="E258" s="9" t="s">
        <v>1216</v>
      </c>
      <c r="F258" s="9" t="s">
        <v>83</v>
      </c>
      <c r="G258" s="9" t="s">
        <v>16</v>
      </c>
      <c r="H258" s="9" t="s">
        <v>49</v>
      </c>
      <c r="I258" s="9" t="s">
        <v>49</v>
      </c>
      <c r="J258" s="9" t="s">
        <v>48</v>
      </c>
      <c r="K258" s="9" t="s">
        <v>381</v>
      </c>
      <c r="L258" s="9" t="s">
        <v>1214</v>
      </c>
      <c r="M258" s="9"/>
      <c r="N258" s="9"/>
      <c r="O258" s="9" t="s">
        <v>1217</v>
      </c>
    </row>
    <row r="259" spans="1:15">
      <c r="A259" s="9" t="s">
        <v>5</v>
      </c>
      <c r="B259" s="9" t="s">
        <v>1057</v>
      </c>
      <c r="C259" s="9" t="s">
        <v>1218</v>
      </c>
      <c r="D259" s="9" t="s">
        <v>399</v>
      </c>
      <c r="E259" s="9" t="s">
        <v>1219</v>
      </c>
      <c r="F259" s="9" t="s">
        <v>47</v>
      </c>
      <c r="G259" s="9" t="s">
        <v>12</v>
      </c>
      <c r="H259" s="9" t="s">
        <v>49</v>
      </c>
      <c r="I259" s="9" t="s">
        <v>49</v>
      </c>
      <c r="J259" s="9" t="s">
        <v>48</v>
      </c>
      <c r="K259" s="9" t="s">
        <v>381</v>
      </c>
      <c r="L259" s="9" t="s">
        <v>1220</v>
      </c>
      <c r="M259" s="9"/>
      <c r="N259" s="9" t="s">
        <v>1221</v>
      </c>
      <c r="O259" s="9" t="s">
        <v>1222</v>
      </c>
    </row>
    <row r="260" spans="1:15">
      <c r="A260" s="9" t="s">
        <v>5</v>
      </c>
      <c r="B260" s="9" t="s">
        <v>1057</v>
      </c>
      <c r="C260" s="9" t="s">
        <v>1223</v>
      </c>
      <c r="D260" s="9" t="s">
        <v>1224</v>
      </c>
      <c r="E260" s="9" t="s">
        <v>1225</v>
      </c>
      <c r="F260" s="9" t="s">
        <v>176</v>
      </c>
      <c r="G260" s="9" t="s">
        <v>16</v>
      </c>
      <c r="H260" s="9" t="s">
        <v>49</v>
      </c>
      <c r="I260" s="9" t="s">
        <v>48</v>
      </c>
      <c r="J260" s="9" t="s">
        <v>48</v>
      </c>
      <c r="K260" s="9" t="s">
        <v>50</v>
      </c>
      <c r="L260" s="9" t="s">
        <v>1223</v>
      </c>
      <c r="M260" s="9"/>
      <c r="N260" s="9"/>
      <c r="O260" s="9" t="s">
        <v>1226</v>
      </c>
    </row>
    <row r="261" spans="1:15">
      <c r="A261" s="9" t="s">
        <v>5</v>
      </c>
      <c r="B261" s="9" t="s">
        <v>1057</v>
      </c>
      <c r="C261" s="9" t="s">
        <v>1227</v>
      </c>
      <c r="D261" s="9" t="s">
        <v>1228</v>
      </c>
      <c r="E261" s="9" t="s">
        <v>1229</v>
      </c>
      <c r="F261" s="9" t="s">
        <v>47</v>
      </c>
      <c r="G261" s="9" t="s">
        <v>12</v>
      </c>
      <c r="H261" s="9" t="s">
        <v>49</v>
      </c>
      <c r="I261" s="9" t="s">
        <v>49</v>
      </c>
      <c r="J261" s="9" t="s">
        <v>48</v>
      </c>
      <c r="K261" s="9" t="s">
        <v>50</v>
      </c>
      <c r="L261" s="9" t="s">
        <v>1230</v>
      </c>
      <c r="M261" s="9"/>
      <c r="N261" s="9" t="s">
        <v>1198</v>
      </c>
      <c r="O261" s="9" t="s">
        <v>1231</v>
      </c>
    </row>
    <row r="262" spans="1:15">
      <c r="A262" s="9" t="s">
        <v>5</v>
      </c>
      <c r="B262" s="9" t="s">
        <v>1057</v>
      </c>
      <c r="C262" s="9" t="s">
        <v>1232</v>
      </c>
      <c r="D262" s="9" t="s">
        <v>1233</v>
      </c>
      <c r="E262" s="9" t="s">
        <v>1234</v>
      </c>
      <c r="F262" s="9" t="s">
        <v>274</v>
      </c>
      <c r="G262" s="9" t="s">
        <v>12</v>
      </c>
      <c r="H262" s="9" t="s">
        <v>49</v>
      </c>
      <c r="I262" s="9" t="s">
        <v>49</v>
      </c>
      <c r="J262" s="9" t="s">
        <v>48</v>
      </c>
      <c r="K262" s="9" t="s">
        <v>50</v>
      </c>
      <c r="L262" s="9" t="s">
        <v>1235</v>
      </c>
      <c r="M262" s="9"/>
      <c r="N262" s="9" t="s">
        <v>1236</v>
      </c>
      <c r="O262" s="9" t="s">
        <v>1237</v>
      </c>
    </row>
    <row r="263" spans="1:15">
      <c r="A263" s="9" t="s">
        <v>5</v>
      </c>
      <c r="B263" s="9" t="s">
        <v>1057</v>
      </c>
      <c r="C263" s="9" t="s">
        <v>1238</v>
      </c>
      <c r="D263" s="9" t="s">
        <v>1239</v>
      </c>
      <c r="E263" s="9" t="s">
        <v>1240</v>
      </c>
      <c r="F263" s="9" t="s">
        <v>243</v>
      </c>
      <c r="G263" s="9" t="s">
        <v>16</v>
      </c>
      <c r="H263" s="9" t="s">
        <v>49</v>
      </c>
      <c r="I263" s="9" t="s">
        <v>49</v>
      </c>
      <c r="J263" s="9" t="s">
        <v>48</v>
      </c>
      <c r="K263" s="9" t="s">
        <v>50</v>
      </c>
      <c r="L263" s="9" t="s">
        <v>1241</v>
      </c>
      <c r="M263" s="9"/>
      <c r="N263" s="9"/>
      <c r="O263" s="9" t="s">
        <v>1242</v>
      </c>
    </row>
    <row r="264" spans="1:15">
      <c r="A264" s="9" t="s">
        <v>5</v>
      </c>
      <c r="B264" s="9" t="s">
        <v>1057</v>
      </c>
      <c r="C264" s="9" t="s">
        <v>1243</v>
      </c>
      <c r="D264" s="9" t="s">
        <v>1244</v>
      </c>
      <c r="E264" s="9" t="s">
        <v>1245</v>
      </c>
      <c r="F264" s="9" t="s">
        <v>47</v>
      </c>
      <c r="G264" s="9" t="s">
        <v>10</v>
      </c>
      <c r="H264" s="9" t="s">
        <v>48</v>
      </c>
      <c r="I264" s="9" t="s">
        <v>49</v>
      </c>
      <c r="J264" s="9" t="s">
        <v>48</v>
      </c>
      <c r="K264" s="9" t="s">
        <v>50</v>
      </c>
      <c r="L264" s="9" t="s">
        <v>1246</v>
      </c>
      <c r="M264" s="9"/>
      <c r="N264" s="9"/>
      <c r="O264" s="9" t="s">
        <v>1247</v>
      </c>
    </row>
    <row r="265" spans="1:15">
      <c r="A265" s="9" t="s">
        <v>5</v>
      </c>
      <c r="B265" s="9" t="s">
        <v>1057</v>
      </c>
      <c r="C265" s="9" t="s">
        <v>1248</v>
      </c>
      <c r="D265" s="9" t="s">
        <v>68</v>
      </c>
      <c r="E265" s="9" t="s">
        <v>1249</v>
      </c>
      <c r="F265" s="9" t="s">
        <v>47</v>
      </c>
      <c r="G265" s="9" t="s">
        <v>10</v>
      </c>
      <c r="H265" s="9" t="s">
        <v>48</v>
      </c>
      <c r="I265" s="9" t="s">
        <v>49</v>
      </c>
      <c r="J265" s="9" t="s">
        <v>48</v>
      </c>
      <c r="K265" s="9" t="s">
        <v>907</v>
      </c>
      <c r="L265" s="9" t="s">
        <v>1250</v>
      </c>
      <c r="M265" s="9"/>
      <c r="N265" s="9" t="s">
        <v>912</v>
      </c>
      <c r="O265" s="9" t="s">
        <v>1251</v>
      </c>
    </row>
    <row r="266" spans="1:15">
      <c r="A266" s="9" t="s">
        <v>5</v>
      </c>
      <c r="B266" s="9" t="s">
        <v>1057</v>
      </c>
      <c r="C266" s="9" t="s">
        <v>1252</v>
      </c>
      <c r="D266" s="9" t="s">
        <v>915</v>
      </c>
      <c r="E266" s="9" t="s">
        <v>1253</v>
      </c>
      <c r="F266" s="9" t="s">
        <v>83</v>
      </c>
      <c r="G266" s="9" t="s">
        <v>16</v>
      </c>
      <c r="H266" s="9" t="s">
        <v>49</v>
      </c>
      <c r="I266" s="9" t="s">
        <v>49</v>
      </c>
      <c r="J266" s="9" t="s">
        <v>48</v>
      </c>
      <c r="K266" s="9" t="s">
        <v>880</v>
      </c>
      <c r="L266" s="9" t="s">
        <v>1254</v>
      </c>
      <c r="M266" s="9"/>
      <c r="N266" s="9" t="s">
        <v>918</v>
      </c>
      <c r="O266" s="9" t="s">
        <v>1255</v>
      </c>
    </row>
    <row r="267" spans="1:15">
      <c r="A267" s="9" t="s">
        <v>5</v>
      </c>
      <c r="B267" s="9" t="s">
        <v>1057</v>
      </c>
      <c r="C267" s="9" t="s">
        <v>415</v>
      </c>
      <c r="D267" s="9" t="s">
        <v>416</v>
      </c>
      <c r="E267" s="9" t="s">
        <v>1256</v>
      </c>
      <c r="F267" s="9" t="s">
        <v>47</v>
      </c>
      <c r="G267" s="9" t="s">
        <v>10</v>
      </c>
      <c r="H267" s="9" t="s">
        <v>48</v>
      </c>
      <c r="I267" s="9" t="s">
        <v>49</v>
      </c>
      <c r="J267" s="9" t="s">
        <v>48</v>
      </c>
      <c r="K267" s="9" t="s">
        <v>418</v>
      </c>
      <c r="L267" s="9" t="s">
        <v>415</v>
      </c>
      <c r="M267" s="9"/>
      <c r="N267" s="9"/>
      <c r="O267" s="9" t="s">
        <v>1257</v>
      </c>
    </row>
    <row r="268" spans="1:15">
      <c r="A268" s="9" t="s">
        <v>5</v>
      </c>
      <c r="B268" s="9" t="s">
        <v>1057</v>
      </c>
      <c r="C268" s="9" t="s">
        <v>68</v>
      </c>
      <c r="D268" s="9" t="s">
        <v>68</v>
      </c>
      <c r="E268" s="9" t="s">
        <v>1258</v>
      </c>
      <c r="F268" s="9" t="s">
        <v>47</v>
      </c>
      <c r="G268" s="9" t="s">
        <v>10</v>
      </c>
      <c r="H268" s="9" t="s">
        <v>48</v>
      </c>
      <c r="I268" s="9" t="s">
        <v>49</v>
      </c>
      <c r="J268" s="9" t="s">
        <v>48</v>
      </c>
      <c r="K268" s="9" t="s">
        <v>554</v>
      </c>
      <c r="L268" s="9" t="s">
        <v>555</v>
      </c>
      <c r="M268" s="9" t="s">
        <v>422</v>
      </c>
      <c r="N268" s="9"/>
      <c r="O268" s="9" t="s">
        <v>1259</v>
      </c>
    </row>
    <row r="269" spans="1:15">
      <c r="A269" s="9" t="s">
        <v>5</v>
      </c>
      <c r="B269" s="9" t="s">
        <v>1057</v>
      </c>
      <c r="C269" s="9" t="s">
        <v>1260</v>
      </c>
      <c r="D269" s="9" t="s">
        <v>1261</v>
      </c>
      <c r="E269" s="9" t="s">
        <v>1262</v>
      </c>
      <c r="F269" s="9" t="s">
        <v>176</v>
      </c>
      <c r="G269" s="9" t="s">
        <v>16</v>
      </c>
      <c r="H269" s="9" t="s">
        <v>49</v>
      </c>
      <c r="I269" s="9" t="s">
        <v>48</v>
      </c>
      <c r="J269" s="9" t="s">
        <v>48</v>
      </c>
      <c r="K269" s="9" t="s">
        <v>50</v>
      </c>
      <c r="L269" s="9" t="s">
        <v>1263</v>
      </c>
      <c r="M269" s="9"/>
      <c r="N269" s="9"/>
      <c r="O269" s="9" t="s">
        <v>1264</v>
      </c>
    </row>
    <row r="270" spans="1:15">
      <c r="A270" s="9" t="s">
        <v>5</v>
      </c>
      <c r="B270" s="9" t="s">
        <v>1057</v>
      </c>
      <c r="C270" s="9" t="s">
        <v>1265</v>
      </c>
      <c r="D270" s="9" t="s">
        <v>344</v>
      </c>
      <c r="E270" s="9" t="s">
        <v>1266</v>
      </c>
      <c r="F270" s="9" t="s">
        <v>47</v>
      </c>
      <c r="G270" s="9" t="s">
        <v>12</v>
      </c>
      <c r="H270" s="9" t="s">
        <v>49</v>
      </c>
      <c r="I270" s="9" t="s">
        <v>49</v>
      </c>
      <c r="J270" s="9" t="s">
        <v>48</v>
      </c>
      <c r="K270" s="9" t="s">
        <v>50</v>
      </c>
      <c r="L270" s="9" t="s">
        <v>1267</v>
      </c>
      <c r="M270" s="9"/>
      <c r="N270" s="9" t="s">
        <v>1268</v>
      </c>
      <c r="O270" s="9" t="s">
        <v>1269</v>
      </c>
    </row>
    <row r="271" spans="1:15">
      <c r="A271" s="9" t="s">
        <v>5</v>
      </c>
      <c r="B271" s="9" t="s">
        <v>1057</v>
      </c>
      <c r="C271" s="9" t="s">
        <v>1270</v>
      </c>
      <c r="D271" s="9" t="s">
        <v>1271</v>
      </c>
      <c r="E271" s="9" t="s">
        <v>1272</v>
      </c>
      <c r="F271" s="9" t="s">
        <v>47</v>
      </c>
      <c r="G271" s="9" t="s">
        <v>12</v>
      </c>
      <c r="H271" s="9" t="s">
        <v>49</v>
      </c>
      <c r="I271" s="9" t="s">
        <v>49</v>
      </c>
      <c r="J271" s="9" t="s">
        <v>48</v>
      </c>
      <c r="K271" s="9" t="s">
        <v>50</v>
      </c>
      <c r="L271" s="9" t="s">
        <v>1273</v>
      </c>
      <c r="M271" s="9"/>
      <c r="N271" s="9" t="s">
        <v>1274</v>
      </c>
      <c r="O271" s="9" t="s">
        <v>1275</v>
      </c>
    </row>
    <row r="272" spans="1:15">
      <c r="A272" s="9" t="s">
        <v>5</v>
      </c>
      <c r="B272" s="9" t="s">
        <v>1057</v>
      </c>
      <c r="C272" s="9" t="s">
        <v>1276</v>
      </c>
      <c r="D272" s="9" t="s">
        <v>1277</v>
      </c>
      <c r="E272" s="9" t="s">
        <v>1278</v>
      </c>
      <c r="F272" s="9" t="s">
        <v>47</v>
      </c>
      <c r="G272" s="9" t="s">
        <v>10</v>
      </c>
      <c r="H272" s="9" t="s">
        <v>48</v>
      </c>
      <c r="I272" s="9" t="s">
        <v>49</v>
      </c>
      <c r="J272" s="9" t="s">
        <v>48</v>
      </c>
      <c r="K272" s="9" t="s">
        <v>880</v>
      </c>
      <c r="L272" s="9" t="s">
        <v>1279</v>
      </c>
      <c r="M272" s="9"/>
      <c r="N272" s="9"/>
      <c r="O272" s="9" t="s">
        <v>1280</v>
      </c>
    </row>
    <row r="273" spans="1:15">
      <c r="A273" s="9" t="s">
        <v>5</v>
      </c>
      <c r="B273" s="9" t="s">
        <v>1057</v>
      </c>
      <c r="C273" s="9" t="s">
        <v>1281</v>
      </c>
      <c r="D273" s="9" t="s">
        <v>1282</v>
      </c>
      <c r="E273" s="9" t="s">
        <v>1283</v>
      </c>
      <c r="F273" s="9" t="s">
        <v>47</v>
      </c>
      <c r="G273" s="9" t="s">
        <v>10</v>
      </c>
      <c r="H273" s="9" t="s">
        <v>48</v>
      </c>
      <c r="I273" s="9" t="s">
        <v>49</v>
      </c>
      <c r="J273" s="9" t="s">
        <v>48</v>
      </c>
      <c r="K273" s="9" t="s">
        <v>880</v>
      </c>
      <c r="L273" s="9" t="s">
        <v>1284</v>
      </c>
      <c r="M273" s="9"/>
      <c r="N273" s="9" t="s">
        <v>1285</v>
      </c>
      <c r="O273" s="9" t="s">
        <v>1286</v>
      </c>
    </row>
    <row r="274" spans="1:15">
      <c r="A274" s="9" t="s">
        <v>5</v>
      </c>
      <c r="B274" s="9" t="s">
        <v>1057</v>
      </c>
      <c r="C274" s="9" t="s">
        <v>891</v>
      </c>
      <c r="D274" s="9" t="s">
        <v>891</v>
      </c>
      <c r="E274" s="9" t="s">
        <v>1287</v>
      </c>
      <c r="F274" s="9" t="s">
        <v>274</v>
      </c>
      <c r="G274" s="9" t="s">
        <v>10</v>
      </c>
      <c r="H274" s="9" t="s">
        <v>48</v>
      </c>
      <c r="I274" s="9" t="s">
        <v>49</v>
      </c>
      <c r="J274" s="9" t="s">
        <v>48</v>
      </c>
      <c r="K274" s="9" t="s">
        <v>893</v>
      </c>
      <c r="L274" s="9" t="s">
        <v>894</v>
      </c>
      <c r="M274" s="9"/>
      <c r="N274" s="9" t="s">
        <v>110</v>
      </c>
      <c r="O274" s="9" t="s">
        <v>1288</v>
      </c>
    </row>
    <row r="275" spans="1:15">
      <c r="A275" s="9" t="s">
        <v>5</v>
      </c>
      <c r="B275" s="9" t="s">
        <v>1057</v>
      </c>
      <c r="C275" s="9" t="s">
        <v>1289</v>
      </c>
      <c r="D275" s="9" t="s">
        <v>1290</v>
      </c>
      <c r="E275" s="9" t="s">
        <v>1291</v>
      </c>
      <c r="F275" s="9" t="s">
        <v>83</v>
      </c>
      <c r="G275" s="9" t="s">
        <v>16</v>
      </c>
      <c r="H275" s="9" t="s">
        <v>49</v>
      </c>
      <c r="I275" s="9" t="s">
        <v>49</v>
      </c>
      <c r="J275" s="9" t="s">
        <v>48</v>
      </c>
      <c r="K275" s="9" t="s">
        <v>880</v>
      </c>
      <c r="L275" s="9" t="s">
        <v>1292</v>
      </c>
      <c r="M275" s="9"/>
      <c r="N275" s="9" t="s">
        <v>19</v>
      </c>
      <c r="O275" s="9" t="s">
        <v>1293</v>
      </c>
    </row>
    <row r="276" spans="1:15">
      <c r="A276" s="9" t="s">
        <v>5</v>
      </c>
      <c r="B276" s="9" t="s">
        <v>1057</v>
      </c>
      <c r="C276" s="9" t="s">
        <v>1294</v>
      </c>
      <c r="D276" s="9" t="s">
        <v>1081</v>
      </c>
      <c r="E276" s="9" t="s">
        <v>1295</v>
      </c>
      <c r="F276" s="9" t="s">
        <v>243</v>
      </c>
      <c r="G276" s="9" t="s">
        <v>16</v>
      </c>
      <c r="H276" s="9" t="s">
        <v>49</v>
      </c>
      <c r="I276" s="9" t="s">
        <v>49</v>
      </c>
      <c r="J276" s="9" t="s">
        <v>48</v>
      </c>
      <c r="K276" s="9" t="s">
        <v>1083</v>
      </c>
      <c r="L276" s="9" t="s">
        <v>1296</v>
      </c>
      <c r="M276" s="9"/>
      <c r="N276" s="9" t="s">
        <v>1085</v>
      </c>
      <c r="O276" s="9" t="s">
        <v>1297</v>
      </c>
    </row>
    <row r="277" spans="1:15">
      <c r="A277" s="9" t="s">
        <v>5</v>
      </c>
      <c r="B277" s="9" t="s">
        <v>1057</v>
      </c>
      <c r="C277" s="9" t="s">
        <v>1298</v>
      </c>
      <c r="D277" s="9" t="s">
        <v>856</v>
      </c>
      <c r="E277" s="9" t="s">
        <v>1299</v>
      </c>
      <c r="F277" s="9" t="s">
        <v>83</v>
      </c>
      <c r="G277" s="9" t="s">
        <v>16</v>
      </c>
      <c r="H277" s="9" t="s">
        <v>49</v>
      </c>
      <c r="I277" s="9" t="s">
        <v>49</v>
      </c>
      <c r="J277" s="9" t="s">
        <v>48</v>
      </c>
      <c r="K277" s="9" t="s">
        <v>880</v>
      </c>
      <c r="L277" s="9" t="s">
        <v>1298</v>
      </c>
      <c r="M277" s="9"/>
      <c r="N277" s="9"/>
      <c r="O277" s="9" t="s">
        <v>1300</v>
      </c>
    </row>
    <row r="278" spans="1:15">
      <c r="A278" s="9" t="s">
        <v>5</v>
      </c>
      <c r="B278" s="9" t="s">
        <v>1057</v>
      </c>
      <c r="C278" s="9" t="s">
        <v>860</v>
      </c>
      <c r="D278" s="9" t="s">
        <v>860</v>
      </c>
      <c r="E278" s="9" t="s">
        <v>1301</v>
      </c>
      <c r="F278" s="9" t="s">
        <v>47</v>
      </c>
      <c r="G278" s="9" t="s">
        <v>12</v>
      </c>
      <c r="H278" s="9" t="s">
        <v>49</v>
      </c>
      <c r="I278" s="9" t="s">
        <v>49</v>
      </c>
      <c r="J278" s="9" t="s">
        <v>48</v>
      </c>
      <c r="K278" s="9" t="s">
        <v>887</v>
      </c>
      <c r="L278" s="9" t="s">
        <v>1302</v>
      </c>
      <c r="M278" s="9"/>
      <c r="N278" s="9"/>
      <c r="O278" s="9" t="s">
        <v>1303</v>
      </c>
    </row>
    <row r="279" spans="1:15">
      <c r="A279" s="9" t="s">
        <v>5</v>
      </c>
      <c r="B279" s="9" t="s">
        <v>1057</v>
      </c>
      <c r="C279" s="9" t="s">
        <v>1304</v>
      </c>
      <c r="D279" s="9" t="s">
        <v>885</v>
      </c>
      <c r="E279" s="9" t="s">
        <v>1305</v>
      </c>
      <c r="F279" s="9" t="s">
        <v>47</v>
      </c>
      <c r="G279" s="9" t="s">
        <v>12</v>
      </c>
      <c r="H279" s="9" t="s">
        <v>49</v>
      </c>
      <c r="I279" s="9" t="s">
        <v>49</v>
      </c>
      <c r="J279" s="9" t="s">
        <v>48</v>
      </c>
      <c r="K279" s="9" t="s">
        <v>880</v>
      </c>
      <c r="L279" s="9" t="s">
        <v>1306</v>
      </c>
      <c r="M279" s="9"/>
      <c r="N279" s="9" t="s">
        <v>1078</v>
      </c>
      <c r="O279" s="9" t="s">
        <v>1307</v>
      </c>
    </row>
    <row r="280" spans="1:15">
      <c r="A280" s="9" t="s">
        <v>5</v>
      </c>
      <c r="B280" s="9" t="s">
        <v>1057</v>
      </c>
      <c r="C280" s="9" t="s">
        <v>891</v>
      </c>
      <c r="D280" s="9" t="s">
        <v>891</v>
      </c>
      <c r="E280" s="9" t="s">
        <v>1308</v>
      </c>
      <c r="F280" s="9" t="s">
        <v>274</v>
      </c>
      <c r="G280" s="9" t="s">
        <v>12</v>
      </c>
      <c r="H280" s="9" t="s">
        <v>49</v>
      </c>
      <c r="I280" s="9" t="s">
        <v>49</v>
      </c>
      <c r="J280" s="9" t="s">
        <v>48</v>
      </c>
      <c r="K280" s="9" t="s">
        <v>893</v>
      </c>
      <c r="L280" s="9" t="s">
        <v>894</v>
      </c>
      <c r="M280" s="9"/>
      <c r="N280" s="9" t="s">
        <v>110</v>
      </c>
      <c r="O280" s="9" t="s">
        <v>1309</v>
      </c>
    </row>
    <row r="281" spans="1:15">
      <c r="A281" s="9" t="s">
        <v>5</v>
      </c>
      <c r="B281" s="9" t="s">
        <v>1057</v>
      </c>
      <c r="C281" s="9" t="s">
        <v>1310</v>
      </c>
      <c r="D281" s="9" t="s">
        <v>897</v>
      </c>
      <c r="E281" s="9" t="s">
        <v>1311</v>
      </c>
      <c r="F281" s="9" t="s">
        <v>83</v>
      </c>
      <c r="G281" s="9" t="s">
        <v>16</v>
      </c>
      <c r="H281" s="9" t="s">
        <v>49</v>
      </c>
      <c r="I281" s="9" t="s">
        <v>49</v>
      </c>
      <c r="J281" s="9" t="s">
        <v>48</v>
      </c>
      <c r="K281" s="9" t="s">
        <v>880</v>
      </c>
      <c r="L281" s="9" t="s">
        <v>1312</v>
      </c>
      <c r="M281" s="9"/>
      <c r="N281" s="9" t="s">
        <v>1313</v>
      </c>
      <c r="O281" s="9" t="s">
        <v>1314</v>
      </c>
    </row>
    <row r="282" spans="1:15">
      <c r="A282" s="9" t="s">
        <v>5</v>
      </c>
      <c r="B282" s="9" t="s">
        <v>1057</v>
      </c>
      <c r="C282" s="9" t="s">
        <v>891</v>
      </c>
      <c r="D282" s="9" t="s">
        <v>891</v>
      </c>
      <c r="E282" s="9" t="s">
        <v>1315</v>
      </c>
      <c r="F282" s="9" t="s">
        <v>274</v>
      </c>
      <c r="G282" s="9" t="s">
        <v>12</v>
      </c>
      <c r="H282" s="9" t="s">
        <v>49</v>
      </c>
      <c r="I282" s="9" t="s">
        <v>49</v>
      </c>
      <c r="J282" s="9" t="s">
        <v>48</v>
      </c>
      <c r="K282" s="9" t="s">
        <v>893</v>
      </c>
      <c r="L282" s="9" t="s">
        <v>894</v>
      </c>
      <c r="M282" s="9"/>
      <c r="N282" s="9" t="s">
        <v>110</v>
      </c>
      <c r="O282" s="9" t="s">
        <v>1316</v>
      </c>
    </row>
    <row r="283" spans="1:15">
      <c r="A283" s="9" t="s">
        <v>6</v>
      </c>
      <c r="B283" s="9" t="s">
        <v>31</v>
      </c>
      <c r="C283" s="9" t="s">
        <v>1317</v>
      </c>
      <c r="D283" s="9" t="s">
        <v>1317</v>
      </c>
      <c r="E283" s="9" t="s">
        <v>1317</v>
      </c>
      <c r="F283" s="9" t="s">
        <v>47</v>
      </c>
      <c r="G283" s="9" t="s">
        <v>10</v>
      </c>
      <c r="H283" s="9" t="s">
        <v>48</v>
      </c>
      <c r="I283" s="9" t="s">
        <v>49</v>
      </c>
      <c r="J283" s="9" t="s">
        <v>48</v>
      </c>
      <c r="K283" s="9" t="s">
        <v>50</v>
      </c>
      <c r="L283" s="9"/>
      <c r="M283" s="9"/>
      <c r="N283" s="9"/>
      <c r="O283" s="9" t="s">
        <v>1318</v>
      </c>
    </row>
    <row r="284" spans="1:15">
      <c r="A284" s="9" t="s">
        <v>6</v>
      </c>
      <c r="B284" s="9" t="s">
        <v>52</v>
      </c>
      <c r="C284" s="9" t="s">
        <v>53</v>
      </c>
      <c r="D284" s="9" t="s">
        <v>54</v>
      </c>
      <c r="E284" s="9" t="s">
        <v>1319</v>
      </c>
      <c r="F284" s="9" t="s">
        <v>47</v>
      </c>
      <c r="G284" s="9" t="s">
        <v>10</v>
      </c>
      <c r="H284" s="9" t="s">
        <v>48</v>
      </c>
      <c r="I284" s="9" t="s">
        <v>49</v>
      </c>
      <c r="J284" s="9" t="s">
        <v>48</v>
      </c>
      <c r="K284" s="9" t="s">
        <v>56</v>
      </c>
      <c r="L284" s="9" t="s">
        <v>57</v>
      </c>
      <c r="M284" s="9" t="s">
        <v>58</v>
      </c>
      <c r="N284" s="9"/>
      <c r="O284" s="9" t="s">
        <v>1320</v>
      </c>
    </row>
    <row r="285" spans="1:15">
      <c r="A285" s="9" t="s">
        <v>6</v>
      </c>
      <c r="B285" s="9" t="s">
        <v>52</v>
      </c>
      <c r="C285" s="9" t="s">
        <v>60</v>
      </c>
      <c r="D285" s="9" t="s">
        <v>61</v>
      </c>
      <c r="E285" s="9" t="s">
        <v>1321</v>
      </c>
      <c r="F285" s="9" t="s">
        <v>47</v>
      </c>
      <c r="G285" s="9" t="s">
        <v>10</v>
      </c>
      <c r="H285" s="9" t="s">
        <v>48</v>
      </c>
      <c r="I285" s="9" t="s">
        <v>49</v>
      </c>
      <c r="J285" s="9" t="s">
        <v>48</v>
      </c>
      <c r="K285" s="9" t="s">
        <v>63</v>
      </c>
      <c r="L285" s="9" t="s">
        <v>64</v>
      </c>
      <c r="M285" s="9" t="s">
        <v>65</v>
      </c>
      <c r="N285" s="9"/>
      <c r="O285" s="9" t="s">
        <v>1322</v>
      </c>
    </row>
    <row r="286" spans="1:15">
      <c r="A286" s="9" t="s">
        <v>6</v>
      </c>
      <c r="B286" s="9" t="s">
        <v>52</v>
      </c>
      <c r="C286" s="9" t="s">
        <v>67</v>
      </c>
      <c r="D286" s="9" t="s">
        <v>68</v>
      </c>
      <c r="E286" s="9" t="s">
        <v>1323</v>
      </c>
      <c r="F286" s="9" t="s">
        <v>47</v>
      </c>
      <c r="G286" s="9" t="s">
        <v>10</v>
      </c>
      <c r="H286" s="9" t="s">
        <v>48</v>
      </c>
      <c r="I286" s="9" t="s">
        <v>49</v>
      </c>
      <c r="J286" s="9" t="s">
        <v>48</v>
      </c>
      <c r="K286" s="9" t="s">
        <v>50</v>
      </c>
      <c r="L286" s="9" t="s">
        <v>70</v>
      </c>
      <c r="M286" s="9"/>
      <c r="N286" s="9" t="s">
        <v>71</v>
      </c>
      <c r="O286" s="9" t="s">
        <v>1324</v>
      </c>
    </row>
    <row r="287" spans="1:15">
      <c r="A287" s="9" t="s">
        <v>6</v>
      </c>
      <c r="B287" s="9" t="s">
        <v>52</v>
      </c>
      <c r="C287" s="9" t="s">
        <v>73</v>
      </c>
      <c r="D287" s="9" t="s">
        <v>74</v>
      </c>
      <c r="E287" s="9" t="s">
        <v>1325</v>
      </c>
      <c r="F287" s="9" t="s">
        <v>47</v>
      </c>
      <c r="G287" s="9" t="s">
        <v>10</v>
      </c>
      <c r="H287" s="9" t="s">
        <v>48</v>
      </c>
      <c r="I287" s="9" t="s">
        <v>49</v>
      </c>
      <c r="J287" s="9" t="s">
        <v>48</v>
      </c>
      <c r="K287" s="9" t="s">
        <v>76</v>
      </c>
      <c r="L287" s="9" t="s">
        <v>77</v>
      </c>
      <c r="M287" s="9"/>
      <c r="N287" s="9" t="s">
        <v>78</v>
      </c>
      <c r="O287" s="9" t="s">
        <v>1326</v>
      </c>
    </row>
    <row r="288" spans="1:15">
      <c r="A288" s="9" t="s">
        <v>6</v>
      </c>
      <c r="B288" s="9" t="s">
        <v>52</v>
      </c>
      <c r="C288" s="9" t="s">
        <v>100</v>
      </c>
      <c r="D288" s="9" t="s">
        <v>101</v>
      </c>
      <c r="E288" s="9" t="s">
        <v>1327</v>
      </c>
      <c r="F288" s="9" t="s">
        <v>83</v>
      </c>
      <c r="G288" s="9" t="s">
        <v>14</v>
      </c>
      <c r="H288" s="9" t="s">
        <v>49</v>
      </c>
      <c r="I288" s="9" t="s">
        <v>49</v>
      </c>
      <c r="J288" s="9" t="s">
        <v>48</v>
      </c>
      <c r="K288" s="9" t="s">
        <v>76</v>
      </c>
      <c r="L288" s="9" t="s">
        <v>103</v>
      </c>
      <c r="M288" s="9"/>
      <c r="N288" s="9" t="s">
        <v>78</v>
      </c>
      <c r="O288" s="9" t="s">
        <v>1328</v>
      </c>
    </row>
    <row r="289" spans="1:15">
      <c r="A289" s="9" t="s">
        <v>6</v>
      </c>
      <c r="B289" s="9" t="s">
        <v>52</v>
      </c>
      <c r="C289" s="9" t="s">
        <v>87</v>
      </c>
      <c r="D289" s="9" t="s">
        <v>1329</v>
      </c>
      <c r="E289" s="9" t="s">
        <v>1330</v>
      </c>
      <c r="F289" s="9" t="s">
        <v>47</v>
      </c>
      <c r="G289" s="9" t="s">
        <v>10</v>
      </c>
      <c r="H289" s="9" t="s">
        <v>48</v>
      </c>
      <c r="I289" s="9" t="s">
        <v>49</v>
      </c>
      <c r="J289" s="9" t="s">
        <v>48</v>
      </c>
      <c r="K289" s="9" t="s">
        <v>90</v>
      </c>
      <c r="L289" s="9" t="s">
        <v>91</v>
      </c>
      <c r="M289" s="9"/>
      <c r="N289" s="9" t="s">
        <v>1331</v>
      </c>
      <c r="O289" s="9" t="s">
        <v>1332</v>
      </c>
    </row>
    <row r="290" spans="1:15">
      <c r="A290" s="9" t="s">
        <v>6</v>
      </c>
      <c r="B290" s="9" t="s">
        <v>52</v>
      </c>
      <c r="C290" s="9" t="s">
        <v>94</v>
      </c>
      <c r="D290" s="9" t="s">
        <v>95</v>
      </c>
      <c r="E290" s="9" t="s">
        <v>1333</v>
      </c>
      <c r="F290" s="9" t="s">
        <v>83</v>
      </c>
      <c r="G290" s="9" t="s">
        <v>16</v>
      </c>
      <c r="H290" s="9" t="s">
        <v>49</v>
      </c>
      <c r="I290" s="9" t="s">
        <v>49</v>
      </c>
      <c r="J290" s="9" t="s">
        <v>48</v>
      </c>
      <c r="K290" s="9" t="s">
        <v>50</v>
      </c>
      <c r="L290" s="9" t="s">
        <v>1334</v>
      </c>
      <c r="M290" s="9"/>
      <c r="N290" s="9" t="s">
        <v>98</v>
      </c>
      <c r="O290" s="9" t="s">
        <v>1335</v>
      </c>
    </row>
    <row r="291" spans="1:15">
      <c r="A291" s="9" t="s">
        <v>6</v>
      </c>
      <c r="B291" s="9" t="s">
        <v>52</v>
      </c>
      <c r="C291" s="9" t="s">
        <v>105</v>
      </c>
      <c r="D291" s="9" t="s">
        <v>106</v>
      </c>
      <c r="E291" s="9" t="s">
        <v>1336</v>
      </c>
      <c r="F291" s="9" t="s">
        <v>47</v>
      </c>
      <c r="G291" s="9" t="s">
        <v>10</v>
      </c>
      <c r="H291" s="9" t="s">
        <v>48</v>
      </c>
      <c r="I291" s="9" t="s">
        <v>49</v>
      </c>
      <c r="J291" s="9" t="s">
        <v>48</v>
      </c>
      <c r="K291" s="9" t="s">
        <v>108</v>
      </c>
      <c r="L291" s="9" t="s">
        <v>109</v>
      </c>
      <c r="M291" s="9"/>
      <c r="N291" s="9" t="s">
        <v>110</v>
      </c>
      <c r="O291" s="9" t="s">
        <v>1337</v>
      </c>
    </row>
    <row r="292" spans="1:15">
      <c r="A292" s="9" t="s">
        <v>6</v>
      </c>
      <c r="B292" s="9" t="s">
        <v>52</v>
      </c>
      <c r="C292" s="9" t="s">
        <v>112</v>
      </c>
      <c r="D292" s="9" t="s">
        <v>113</v>
      </c>
      <c r="E292" s="9" t="s">
        <v>1338</v>
      </c>
      <c r="F292" s="9" t="s">
        <v>83</v>
      </c>
      <c r="G292" s="9" t="s">
        <v>16</v>
      </c>
      <c r="H292" s="9" t="s">
        <v>49</v>
      </c>
      <c r="I292" s="9" t="s">
        <v>49</v>
      </c>
      <c r="J292" s="9" t="s">
        <v>48</v>
      </c>
      <c r="K292" s="9" t="s">
        <v>115</v>
      </c>
      <c r="L292" s="9" t="s">
        <v>116</v>
      </c>
      <c r="M292" s="9"/>
      <c r="N292" s="9" t="s">
        <v>117</v>
      </c>
      <c r="O292" s="9" t="s">
        <v>1339</v>
      </c>
    </row>
    <row r="293" spans="1:15">
      <c r="A293" s="9" t="s">
        <v>6</v>
      </c>
      <c r="B293" s="9" t="s">
        <v>52</v>
      </c>
      <c r="C293" s="9" t="s">
        <v>119</v>
      </c>
      <c r="D293" s="9" t="s">
        <v>120</v>
      </c>
      <c r="E293" s="9" t="s">
        <v>1340</v>
      </c>
      <c r="F293" s="9" t="s">
        <v>83</v>
      </c>
      <c r="G293" s="9" t="s">
        <v>16</v>
      </c>
      <c r="H293" s="9" t="s">
        <v>49</v>
      </c>
      <c r="I293" s="9" t="s">
        <v>49</v>
      </c>
      <c r="J293" s="9" t="s">
        <v>48</v>
      </c>
      <c r="K293" s="9" t="s">
        <v>50</v>
      </c>
      <c r="L293" s="9" t="s">
        <v>122</v>
      </c>
      <c r="M293" s="9"/>
      <c r="N293" s="9" t="s">
        <v>123</v>
      </c>
      <c r="O293" s="9" t="s">
        <v>1341</v>
      </c>
    </row>
    <row r="294" spans="1:15">
      <c r="A294" s="9" t="s">
        <v>6</v>
      </c>
      <c r="B294" s="9" t="s">
        <v>52</v>
      </c>
      <c r="C294" s="9" t="s">
        <v>125</v>
      </c>
      <c r="D294" s="9" t="s">
        <v>126</v>
      </c>
      <c r="E294" s="9" t="s">
        <v>1342</v>
      </c>
      <c r="F294" s="9" t="s">
        <v>83</v>
      </c>
      <c r="G294" s="9" t="s">
        <v>14</v>
      </c>
      <c r="H294" s="9" t="s">
        <v>49</v>
      </c>
      <c r="I294" s="9" t="s">
        <v>49</v>
      </c>
      <c r="J294" s="9" t="s">
        <v>48</v>
      </c>
      <c r="K294" s="9" t="s">
        <v>128</v>
      </c>
      <c r="L294" s="9" t="s">
        <v>129</v>
      </c>
      <c r="M294" s="9"/>
      <c r="N294" s="9" t="s">
        <v>130</v>
      </c>
      <c r="O294" s="9" t="s">
        <v>1343</v>
      </c>
    </row>
    <row r="295" spans="1:15">
      <c r="A295" s="9" t="s">
        <v>6</v>
      </c>
      <c r="B295" s="9" t="s">
        <v>132</v>
      </c>
      <c r="C295" s="9" t="s">
        <v>133</v>
      </c>
      <c r="D295" s="9" t="s">
        <v>134</v>
      </c>
      <c r="E295" s="9" t="s">
        <v>1344</v>
      </c>
      <c r="F295" s="9" t="s">
        <v>83</v>
      </c>
      <c r="G295" s="9" t="s">
        <v>14</v>
      </c>
      <c r="H295" s="9" t="s">
        <v>49</v>
      </c>
      <c r="I295" s="9" t="s">
        <v>49</v>
      </c>
      <c r="J295" s="9" t="s">
        <v>48</v>
      </c>
      <c r="K295" s="9" t="s">
        <v>136</v>
      </c>
      <c r="L295" s="9" t="s">
        <v>137</v>
      </c>
      <c r="M295" s="9"/>
      <c r="N295" s="9"/>
      <c r="O295" s="9" t="s">
        <v>1345</v>
      </c>
    </row>
    <row r="296" spans="1:15">
      <c r="A296" s="9" t="s">
        <v>6</v>
      </c>
      <c r="B296" s="9" t="s">
        <v>132</v>
      </c>
      <c r="C296" s="9" t="s">
        <v>139</v>
      </c>
      <c r="D296" s="9" t="s">
        <v>140</v>
      </c>
      <c r="E296" s="9" t="s">
        <v>1346</v>
      </c>
      <c r="F296" s="9" t="s">
        <v>83</v>
      </c>
      <c r="G296" s="9" t="s">
        <v>16</v>
      </c>
      <c r="H296" s="9" t="s">
        <v>49</v>
      </c>
      <c r="I296" s="9" t="s">
        <v>49</v>
      </c>
      <c r="J296" s="9" t="s">
        <v>48</v>
      </c>
      <c r="K296" s="9" t="s">
        <v>76</v>
      </c>
      <c r="L296" s="9" t="s">
        <v>142</v>
      </c>
      <c r="M296" s="9"/>
      <c r="N296" s="9" t="s">
        <v>143</v>
      </c>
      <c r="O296" s="9" t="s">
        <v>1347</v>
      </c>
    </row>
    <row r="297" spans="1:15">
      <c r="A297" s="9" t="s">
        <v>6</v>
      </c>
      <c r="B297" s="9" t="s">
        <v>132</v>
      </c>
      <c r="C297" s="9" t="s">
        <v>145</v>
      </c>
      <c r="D297" s="9" t="s">
        <v>146</v>
      </c>
      <c r="E297" s="9" t="s">
        <v>1348</v>
      </c>
      <c r="F297" s="9" t="s">
        <v>83</v>
      </c>
      <c r="G297" s="9" t="s">
        <v>16</v>
      </c>
      <c r="H297" s="9" t="s">
        <v>49</v>
      </c>
      <c r="I297" s="9" t="s">
        <v>49</v>
      </c>
      <c r="J297" s="9" t="s">
        <v>48</v>
      </c>
      <c r="K297" s="9" t="s">
        <v>76</v>
      </c>
      <c r="L297" s="9" t="s">
        <v>148</v>
      </c>
      <c r="M297" s="9"/>
      <c r="N297" s="9" t="s">
        <v>149</v>
      </c>
      <c r="O297" s="9" t="s">
        <v>1349</v>
      </c>
    </row>
    <row r="298" spans="1:15">
      <c r="A298" s="9" t="s">
        <v>6</v>
      </c>
      <c r="B298" s="9" t="s">
        <v>132</v>
      </c>
      <c r="C298" s="9" t="s">
        <v>151</v>
      </c>
      <c r="D298" s="9" t="s">
        <v>152</v>
      </c>
      <c r="E298" s="9" t="s">
        <v>1350</v>
      </c>
      <c r="F298" s="9" t="s">
        <v>83</v>
      </c>
      <c r="G298" s="9" t="s">
        <v>16</v>
      </c>
      <c r="H298" s="9" t="s">
        <v>49</v>
      </c>
      <c r="I298" s="9" t="s">
        <v>49</v>
      </c>
      <c r="J298" s="9" t="s">
        <v>48</v>
      </c>
      <c r="K298" s="9" t="s">
        <v>76</v>
      </c>
      <c r="L298" s="9" t="s">
        <v>154</v>
      </c>
      <c r="M298" s="9"/>
      <c r="N298" s="9" t="s">
        <v>155</v>
      </c>
      <c r="O298" s="9" t="s">
        <v>1351</v>
      </c>
    </row>
    <row r="299" spans="1:15">
      <c r="A299" s="9" t="s">
        <v>6</v>
      </c>
      <c r="B299" s="9" t="s">
        <v>157</v>
      </c>
      <c r="C299" s="9" t="s">
        <v>158</v>
      </c>
      <c r="D299" s="9" t="s">
        <v>159</v>
      </c>
      <c r="E299" s="9" t="s">
        <v>1352</v>
      </c>
      <c r="F299" s="9" t="s">
        <v>83</v>
      </c>
      <c r="G299" s="9" t="s">
        <v>16</v>
      </c>
      <c r="H299" s="9" t="s">
        <v>49</v>
      </c>
      <c r="I299" s="9" t="s">
        <v>49</v>
      </c>
      <c r="J299" s="9" t="s">
        <v>48</v>
      </c>
      <c r="K299" s="9" t="s">
        <v>50</v>
      </c>
      <c r="L299" s="9" t="s">
        <v>158</v>
      </c>
      <c r="M299" s="9"/>
      <c r="N299" s="9"/>
      <c r="O299" s="9" t="s">
        <v>1353</v>
      </c>
    </row>
    <row r="300" spans="1:15">
      <c r="A300" s="9" t="s">
        <v>6</v>
      </c>
      <c r="B300" s="9" t="s">
        <v>157</v>
      </c>
      <c r="C300" s="9" t="s">
        <v>162</v>
      </c>
      <c r="D300" s="9" t="s">
        <v>68</v>
      </c>
      <c r="E300" s="9" t="s">
        <v>1354</v>
      </c>
      <c r="F300" s="9" t="s">
        <v>47</v>
      </c>
      <c r="G300" s="9" t="s">
        <v>12</v>
      </c>
      <c r="H300" s="9" t="s">
        <v>49</v>
      </c>
      <c r="I300" s="9" t="s">
        <v>49</v>
      </c>
      <c r="J300" s="9" t="s">
        <v>48</v>
      </c>
      <c r="K300" s="9" t="s">
        <v>128</v>
      </c>
      <c r="L300" s="9" t="s">
        <v>1355</v>
      </c>
      <c r="M300" s="9"/>
      <c r="N300" s="9" t="s">
        <v>165</v>
      </c>
      <c r="O300" s="9" t="s">
        <v>1356</v>
      </c>
    </row>
    <row r="301" spans="1:15">
      <c r="A301" s="9" t="s">
        <v>6</v>
      </c>
      <c r="B301" s="9" t="s">
        <v>157</v>
      </c>
      <c r="C301" s="9" t="s">
        <v>167</v>
      </c>
      <c r="D301" s="9" t="s">
        <v>168</v>
      </c>
      <c r="E301" s="9" t="s">
        <v>1357</v>
      </c>
      <c r="F301" s="9" t="s">
        <v>83</v>
      </c>
      <c r="G301" s="9" t="s">
        <v>16</v>
      </c>
      <c r="H301" s="9" t="s">
        <v>49</v>
      </c>
      <c r="I301" s="9" t="s">
        <v>49</v>
      </c>
      <c r="J301" s="9" t="s">
        <v>48</v>
      </c>
      <c r="K301" s="9" t="s">
        <v>50</v>
      </c>
      <c r="L301" s="9" t="s">
        <v>1358</v>
      </c>
      <c r="M301" s="9"/>
      <c r="N301" s="9" t="s">
        <v>171</v>
      </c>
      <c r="O301" s="9" t="s">
        <v>1359</v>
      </c>
    </row>
    <row r="302" spans="1:15">
      <c r="A302" s="9" t="s">
        <v>6</v>
      </c>
      <c r="B302" s="9" t="s">
        <v>157</v>
      </c>
      <c r="C302" s="9" t="s">
        <v>173</v>
      </c>
      <c r="D302" s="9" t="s">
        <v>174</v>
      </c>
      <c r="E302" s="9" t="s">
        <v>1360</v>
      </c>
      <c r="F302" s="9" t="s">
        <v>176</v>
      </c>
      <c r="G302" s="9" t="s">
        <v>16</v>
      </c>
      <c r="H302" s="9" t="s">
        <v>49</v>
      </c>
      <c r="I302" s="9" t="s">
        <v>48</v>
      </c>
      <c r="J302" s="9" t="s">
        <v>48</v>
      </c>
      <c r="K302" s="9" t="s">
        <v>50</v>
      </c>
      <c r="L302" s="9" t="s">
        <v>177</v>
      </c>
      <c r="M302" s="9"/>
      <c r="N302" s="9"/>
      <c r="O302" s="9" t="s">
        <v>1361</v>
      </c>
    </row>
    <row r="303" spans="1:15">
      <c r="A303" s="9" t="s">
        <v>6</v>
      </c>
      <c r="B303" s="9" t="s">
        <v>157</v>
      </c>
      <c r="C303" s="9" t="s">
        <v>179</v>
      </c>
      <c r="D303" s="9" t="s">
        <v>180</v>
      </c>
      <c r="E303" s="9" t="s">
        <v>1362</v>
      </c>
      <c r="F303" s="9" t="s">
        <v>47</v>
      </c>
      <c r="G303" s="9" t="s">
        <v>12</v>
      </c>
      <c r="H303" s="9" t="s">
        <v>49</v>
      </c>
      <c r="I303" s="9" t="s">
        <v>49</v>
      </c>
      <c r="J303" s="9" t="s">
        <v>48</v>
      </c>
      <c r="K303" s="9" t="s">
        <v>50</v>
      </c>
      <c r="L303" s="9" t="s">
        <v>179</v>
      </c>
      <c r="M303" s="9"/>
      <c r="N303" s="9"/>
      <c r="O303" s="9" t="s">
        <v>1363</v>
      </c>
    </row>
    <row r="304" spans="1:15">
      <c r="A304" s="9" t="s">
        <v>6</v>
      </c>
      <c r="B304" s="9" t="s">
        <v>157</v>
      </c>
      <c r="C304" s="9" t="s">
        <v>183</v>
      </c>
      <c r="D304" s="9" t="s">
        <v>68</v>
      </c>
      <c r="E304" s="9" t="s">
        <v>1364</v>
      </c>
      <c r="F304" s="9" t="s">
        <v>47</v>
      </c>
      <c r="G304" s="9" t="s">
        <v>12</v>
      </c>
      <c r="H304" s="9" t="s">
        <v>49</v>
      </c>
      <c r="I304" s="9" t="s">
        <v>49</v>
      </c>
      <c r="J304" s="9" t="s">
        <v>48</v>
      </c>
      <c r="K304" s="9" t="s">
        <v>50</v>
      </c>
      <c r="L304" s="9" t="s">
        <v>185</v>
      </c>
      <c r="M304" s="9"/>
      <c r="N304" s="9" t="s">
        <v>186</v>
      </c>
      <c r="O304" s="9" t="s">
        <v>1365</v>
      </c>
    </row>
    <row r="305" spans="1:15">
      <c r="A305" s="9" t="s">
        <v>6</v>
      </c>
      <c r="B305" s="9" t="s">
        <v>157</v>
      </c>
      <c r="C305" s="9" t="s">
        <v>188</v>
      </c>
      <c r="D305" s="9" t="s">
        <v>74</v>
      </c>
      <c r="E305" s="9" t="s">
        <v>1366</v>
      </c>
      <c r="F305" s="9" t="s">
        <v>83</v>
      </c>
      <c r="G305" s="9" t="s">
        <v>14</v>
      </c>
      <c r="H305" s="9" t="s">
        <v>49</v>
      </c>
      <c r="I305" s="9" t="s">
        <v>49</v>
      </c>
      <c r="J305" s="9" t="s">
        <v>48</v>
      </c>
      <c r="K305" s="9" t="s">
        <v>136</v>
      </c>
      <c r="L305" s="9" t="s">
        <v>190</v>
      </c>
      <c r="M305" s="9"/>
      <c r="N305" s="9" t="s">
        <v>191</v>
      </c>
      <c r="O305" s="9" t="s">
        <v>1367</v>
      </c>
    </row>
    <row r="306" spans="1:15">
      <c r="A306" s="9" t="s">
        <v>6</v>
      </c>
      <c r="B306" s="9" t="s">
        <v>157</v>
      </c>
      <c r="C306" s="9" t="s">
        <v>193</v>
      </c>
      <c r="D306" s="9" t="s">
        <v>194</v>
      </c>
      <c r="E306" s="9" t="s">
        <v>1368</v>
      </c>
      <c r="F306" s="9" t="s">
        <v>83</v>
      </c>
      <c r="G306" s="9" t="s">
        <v>16</v>
      </c>
      <c r="H306" s="9" t="s">
        <v>49</v>
      </c>
      <c r="I306" s="9" t="s">
        <v>49</v>
      </c>
      <c r="J306" s="9" t="s">
        <v>48</v>
      </c>
      <c r="K306" s="9" t="s">
        <v>50</v>
      </c>
      <c r="L306" s="9" t="s">
        <v>193</v>
      </c>
      <c r="M306" s="9"/>
      <c r="N306" s="9"/>
      <c r="O306" s="9" t="s">
        <v>1369</v>
      </c>
    </row>
    <row r="307" spans="1:15">
      <c r="A307" s="9" t="s">
        <v>6</v>
      </c>
      <c r="B307" s="9" t="s">
        <v>157</v>
      </c>
      <c r="C307" s="9" t="s">
        <v>197</v>
      </c>
      <c r="D307" s="9" t="s">
        <v>68</v>
      </c>
      <c r="E307" s="9" t="s">
        <v>1370</v>
      </c>
      <c r="F307" s="9" t="s">
        <v>47</v>
      </c>
      <c r="G307" s="9" t="s">
        <v>12</v>
      </c>
      <c r="H307" s="9" t="s">
        <v>49</v>
      </c>
      <c r="I307" s="9" t="s">
        <v>49</v>
      </c>
      <c r="J307" s="9" t="s">
        <v>48</v>
      </c>
      <c r="K307" s="9" t="s">
        <v>50</v>
      </c>
      <c r="L307" s="9" t="s">
        <v>199</v>
      </c>
      <c r="M307" s="9"/>
      <c r="N307" s="9" t="s">
        <v>200</v>
      </c>
      <c r="O307" s="9" t="s">
        <v>1371</v>
      </c>
    </row>
    <row r="308" spans="1:15">
      <c r="A308" s="9" t="s">
        <v>6</v>
      </c>
      <c r="B308" s="9" t="s">
        <v>157</v>
      </c>
      <c r="C308" s="9" t="s">
        <v>202</v>
      </c>
      <c r="D308" s="9" t="s">
        <v>203</v>
      </c>
      <c r="E308" s="9" t="s">
        <v>1372</v>
      </c>
      <c r="F308" s="9" t="s">
        <v>83</v>
      </c>
      <c r="G308" s="9" t="s">
        <v>16</v>
      </c>
      <c r="H308" s="9" t="s">
        <v>49</v>
      </c>
      <c r="I308" s="9" t="s">
        <v>49</v>
      </c>
      <c r="J308" s="9" t="s">
        <v>48</v>
      </c>
      <c r="K308" s="9" t="s">
        <v>50</v>
      </c>
      <c r="L308" s="9" t="s">
        <v>202</v>
      </c>
      <c r="M308" s="9"/>
      <c r="N308" s="9"/>
      <c r="O308" s="9" t="s">
        <v>1373</v>
      </c>
    </row>
    <row r="309" spans="1:15">
      <c r="A309" s="9" t="s">
        <v>6</v>
      </c>
      <c r="B309" s="9" t="s">
        <v>157</v>
      </c>
      <c r="C309" s="9" t="s">
        <v>206</v>
      </c>
      <c r="D309" s="9" t="s">
        <v>68</v>
      </c>
      <c r="E309" s="9" t="s">
        <v>1374</v>
      </c>
      <c r="F309" s="9" t="s">
        <v>47</v>
      </c>
      <c r="G309" s="9" t="s">
        <v>12</v>
      </c>
      <c r="H309" s="9" t="s">
        <v>49</v>
      </c>
      <c r="I309" s="9" t="s">
        <v>49</v>
      </c>
      <c r="J309" s="9" t="s">
        <v>48</v>
      </c>
      <c r="K309" s="9" t="s">
        <v>50</v>
      </c>
      <c r="L309" s="9" t="s">
        <v>208</v>
      </c>
      <c r="M309" s="9"/>
      <c r="N309" s="9" t="s">
        <v>209</v>
      </c>
      <c r="O309" s="9" t="s">
        <v>1375</v>
      </c>
    </row>
    <row r="310" spans="1:15">
      <c r="A310" s="9" t="s">
        <v>6</v>
      </c>
      <c r="B310" s="9" t="s">
        <v>157</v>
      </c>
      <c r="C310" s="9" t="s">
        <v>220</v>
      </c>
      <c r="D310" s="9" t="s">
        <v>221</v>
      </c>
      <c r="E310" s="9" t="s">
        <v>1376</v>
      </c>
      <c r="F310" s="9" t="s">
        <v>83</v>
      </c>
      <c r="G310" s="9" t="s">
        <v>16</v>
      </c>
      <c r="H310" s="9" t="s">
        <v>49</v>
      </c>
      <c r="I310" s="9" t="s">
        <v>49</v>
      </c>
      <c r="J310" s="9" t="s">
        <v>48</v>
      </c>
      <c r="K310" s="9" t="s">
        <v>50</v>
      </c>
      <c r="L310" s="9" t="s">
        <v>220</v>
      </c>
      <c r="M310" s="9"/>
      <c r="N310" s="9"/>
      <c r="O310" s="9" t="s">
        <v>1377</v>
      </c>
    </row>
    <row r="311" spans="1:15">
      <c r="A311" s="9" t="s">
        <v>6</v>
      </c>
      <c r="B311" s="9" t="s">
        <v>157</v>
      </c>
      <c r="C311" s="9" t="s">
        <v>224</v>
      </c>
      <c r="D311" s="9" t="s">
        <v>68</v>
      </c>
      <c r="E311" s="9" t="s">
        <v>1378</v>
      </c>
      <c r="F311" s="9" t="s">
        <v>47</v>
      </c>
      <c r="G311" s="9" t="s">
        <v>12</v>
      </c>
      <c r="H311" s="9" t="s">
        <v>49</v>
      </c>
      <c r="I311" s="9" t="s">
        <v>49</v>
      </c>
      <c r="J311" s="9" t="s">
        <v>48</v>
      </c>
      <c r="K311" s="9" t="s">
        <v>50</v>
      </c>
      <c r="L311" s="9" t="s">
        <v>226</v>
      </c>
      <c r="M311" s="9"/>
      <c r="N311" s="9" t="s">
        <v>227</v>
      </c>
      <c r="O311" s="9" t="s">
        <v>1379</v>
      </c>
    </row>
    <row r="312" spans="1:15">
      <c r="A312" s="9" t="s">
        <v>6</v>
      </c>
      <c r="B312" s="9" t="s">
        <v>229</v>
      </c>
      <c r="C312" s="9" t="s">
        <v>230</v>
      </c>
      <c r="D312" s="9" t="s">
        <v>231</v>
      </c>
      <c r="E312" s="9" t="s">
        <v>1380</v>
      </c>
      <c r="F312" s="9" t="s">
        <v>176</v>
      </c>
      <c r="G312" s="9" t="s">
        <v>16</v>
      </c>
      <c r="H312" s="9" t="s">
        <v>49</v>
      </c>
      <c r="I312" s="9" t="s">
        <v>48</v>
      </c>
      <c r="J312" s="9" t="s">
        <v>48</v>
      </c>
      <c r="K312" s="9" t="s">
        <v>50</v>
      </c>
      <c r="L312" s="9" t="s">
        <v>233</v>
      </c>
      <c r="M312" s="9"/>
      <c r="N312" s="9"/>
      <c r="O312" s="9" t="s">
        <v>1381</v>
      </c>
    </row>
    <row r="313" spans="1:15">
      <c r="A313" s="9" t="s">
        <v>6</v>
      </c>
      <c r="B313" s="9" t="s">
        <v>229</v>
      </c>
      <c r="C313" s="9" t="s">
        <v>1382</v>
      </c>
      <c r="D313" s="9" t="s">
        <v>68</v>
      </c>
      <c r="E313" s="9" t="s">
        <v>1383</v>
      </c>
      <c r="F313" s="9" t="s">
        <v>47</v>
      </c>
      <c r="G313" s="9" t="s">
        <v>12</v>
      </c>
      <c r="H313" s="9" t="s">
        <v>49</v>
      </c>
      <c r="I313" s="9" t="s">
        <v>49</v>
      </c>
      <c r="J313" s="9" t="s">
        <v>48</v>
      </c>
      <c r="K313" s="9" t="s">
        <v>50</v>
      </c>
      <c r="L313" s="9" t="s">
        <v>1384</v>
      </c>
      <c r="M313" s="9"/>
      <c r="N313" s="9" t="s">
        <v>238</v>
      </c>
      <c r="O313" s="9" t="s">
        <v>1385</v>
      </c>
    </row>
    <row r="314" spans="1:15">
      <c r="A314" s="9" t="s">
        <v>6</v>
      </c>
      <c r="B314" s="9" t="s">
        <v>229</v>
      </c>
      <c r="C314" s="9" t="s">
        <v>240</v>
      </c>
      <c r="D314" s="9" t="s">
        <v>241</v>
      </c>
      <c r="E314" s="9" t="s">
        <v>1386</v>
      </c>
      <c r="F314" s="9" t="s">
        <v>243</v>
      </c>
      <c r="G314" s="9" t="s">
        <v>16</v>
      </c>
      <c r="H314" s="9" t="s">
        <v>49</v>
      </c>
      <c r="I314" s="9" t="s">
        <v>49</v>
      </c>
      <c r="J314" s="9" t="s">
        <v>48</v>
      </c>
      <c r="K314" s="9" t="s">
        <v>244</v>
      </c>
      <c r="L314" s="9" t="s">
        <v>245</v>
      </c>
      <c r="M314" s="9"/>
      <c r="N314" s="9" t="s">
        <v>246</v>
      </c>
      <c r="O314" s="9" t="s">
        <v>1387</v>
      </c>
    </row>
    <row r="315" spans="1:15">
      <c r="A315" s="9" t="s">
        <v>6</v>
      </c>
      <c r="B315" s="9" t="s">
        <v>229</v>
      </c>
      <c r="C315" s="9" t="s">
        <v>248</v>
      </c>
      <c r="D315" s="9" t="s">
        <v>249</v>
      </c>
      <c r="E315" s="9" t="s">
        <v>1388</v>
      </c>
      <c r="F315" s="9" t="s">
        <v>83</v>
      </c>
      <c r="G315" s="9" t="s">
        <v>16</v>
      </c>
      <c r="H315" s="9" t="s">
        <v>49</v>
      </c>
      <c r="I315" s="9" t="s">
        <v>49</v>
      </c>
      <c r="J315" s="9" t="s">
        <v>48</v>
      </c>
      <c r="K315" s="9" t="s">
        <v>128</v>
      </c>
      <c r="L315" s="9" t="s">
        <v>1389</v>
      </c>
      <c r="M315" s="9"/>
      <c r="N315" s="9" t="s">
        <v>253</v>
      </c>
      <c r="O315" s="9" t="s">
        <v>1390</v>
      </c>
    </row>
    <row r="316" spans="1:15">
      <c r="A316" s="9" t="s">
        <v>6</v>
      </c>
      <c r="B316" s="9" t="s">
        <v>229</v>
      </c>
      <c r="C316" s="9" t="s">
        <v>255</v>
      </c>
      <c r="D316" s="9" t="s">
        <v>256</v>
      </c>
      <c r="E316" s="9" t="s">
        <v>1391</v>
      </c>
      <c r="F316" s="9" t="s">
        <v>83</v>
      </c>
      <c r="G316" s="9" t="s">
        <v>16</v>
      </c>
      <c r="H316" s="9" t="s">
        <v>49</v>
      </c>
      <c r="I316" s="9" t="s">
        <v>49</v>
      </c>
      <c r="J316" s="9" t="s">
        <v>48</v>
      </c>
      <c r="K316" s="9" t="s">
        <v>50</v>
      </c>
      <c r="L316" s="9" t="s">
        <v>258</v>
      </c>
      <c r="M316" s="9"/>
      <c r="N316" s="9" t="s">
        <v>259</v>
      </c>
      <c r="O316" s="9" t="s">
        <v>1392</v>
      </c>
    </row>
    <row r="317" spans="1:15">
      <c r="A317" s="9" t="s">
        <v>6</v>
      </c>
      <c r="B317" s="9" t="s">
        <v>229</v>
      </c>
      <c r="C317" s="9" t="s">
        <v>261</v>
      </c>
      <c r="D317" s="9" t="s">
        <v>262</v>
      </c>
      <c r="E317" s="9" t="s">
        <v>1393</v>
      </c>
      <c r="F317" s="9" t="s">
        <v>83</v>
      </c>
      <c r="G317" s="9" t="s">
        <v>16</v>
      </c>
      <c r="H317" s="9" t="s">
        <v>49</v>
      </c>
      <c r="I317" s="9" t="s">
        <v>49</v>
      </c>
      <c r="J317" s="9" t="s">
        <v>48</v>
      </c>
      <c r="K317" s="9" t="s">
        <v>50</v>
      </c>
      <c r="L317" s="9" t="s">
        <v>261</v>
      </c>
      <c r="M317" s="9"/>
      <c r="N317" s="9"/>
      <c r="O317" s="9" t="s">
        <v>1394</v>
      </c>
    </row>
    <row r="318" spans="1:15">
      <c r="A318" s="9" t="s">
        <v>6</v>
      </c>
      <c r="B318" s="9" t="s">
        <v>229</v>
      </c>
      <c r="C318" s="9" t="s">
        <v>265</v>
      </c>
      <c r="D318" s="9" t="s">
        <v>266</v>
      </c>
      <c r="E318" s="9" t="s">
        <v>1395</v>
      </c>
      <c r="F318" s="9" t="s">
        <v>83</v>
      </c>
      <c r="G318" s="9" t="s">
        <v>16</v>
      </c>
      <c r="H318" s="9" t="s">
        <v>49</v>
      </c>
      <c r="I318" s="9" t="s">
        <v>49</v>
      </c>
      <c r="J318" s="9" t="s">
        <v>48</v>
      </c>
      <c r="K318" s="9" t="s">
        <v>50</v>
      </c>
      <c r="L318" s="9" t="s">
        <v>268</v>
      </c>
      <c r="M318" s="9"/>
      <c r="N318" s="9" t="s">
        <v>269</v>
      </c>
      <c r="O318" s="9" t="s">
        <v>1396</v>
      </c>
    </row>
    <row r="319" spans="1:15">
      <c r="A319" s="9" t="s">
        <v>6</v>
      </c>
      <c r="B319" s="9" t="s">
        <v>229</v>
      </c>
      <c r="C319" s="9" t="s">
        <v>271</v>
      </c>
      <c r="D319" s="9" t="s">
        <v>272</v>
      </c>
      <c r="E319" s="9" t="s">
        <v>1397</v>
      </c>
      <c r="F319" s="9" t="s">
        <v>274</v>
      </c>
      <c r="G319" s="9" t="s">
        <v>12</v>
      </c>
      <c r="H319" s="9" t="s">
        <v>49</v>
      </c>
      <c r="I319" s="9" t="s">
        <v>49</v>
      </c>
      <c r="J319" s="9" t="s">
        <v>48</v>
      </c>
      <c r="K319" s="9" t="s">
        <v>275</v>
      </c>
      <c r="L319" s="9" t="s">
        <v>276</v>
      </c>
      <c r="M319" s="9"/>
      <c r="N319" s="9" t="s">
        <v>277</v>
      </c>
      <c r="O319" s="9" t="s">
        <v>1398</v>
      </c>
    </row>
    <row r="320" spans="1:15">
      <c r="A320" s="9" t="s">
        <v>6</v>
      </c>
      <c r="B320" s="9" t="s">
        <v>229</v>
      </c>
      <c r="C320" s="9" t="s">
        <v>279</v>
      </c>
      <c r="D320" s="9" t="s">
        <v>280</v>
      </c>
      <c r="E320" s="9" t="s">
        <v>1399</v>
      </c>
      <c r="F320" s="9" t="s">
        <v>274</v>
      </c>
      <c r="G320" s="9" t="s">
        <v>12</v>
      </c>
      <c r="H320" s="9" t="s">
        <v>49</v>
      </c>
      <c r="I320" s="9" t="s">
        <v>49</v>
      </c>
      <c r="J320" s="9" t="s">
        <v>48</v>
      </c>
      <c r="K320" s="9" t="s">
        <v>50</v>
      </c>
      <c r="L320" s="9" t="s">
        <v>282</v>
      </c>
      <c r="M320" s="9"/>
      <c r="N320" s="9" t="s">
        <v>283</v>
      </c>
      <c r="O320" s="9" t="s">
        <v>1400</v>
      </c>
    </row>
    <row r="321" spans="1:15">
      <c r="A321" s="9" t="s">
        <v>6</v>
      </c>
      <c r="B321" s="9" t="s">
        <v>229</v>
      </c>
      <c r="C321" s="9" t="s">
        <v>285</v>
      </c>
      <c r="D321" s="9" t="s">
        <v>286</v>
      </c>
      <c r="E321" s="9" t="s">
        <v>1401</v>
      </c>
      <c r="F321" s="9" t="s">
        <v>83</v>
      </c>
      <c r="G321" s="9" t="s">
        <v>16</v>
      </c>
      <c r="H321" s="9" t="s">
        <v>49</v>
      </c>
      <c r="I321" s="9" t="s">
        <v>49</v>
      </c>
      <c r="J321" s="9" t="s">
        <v>48</v>
      </c>
      <c r="K321" s="9" t="s">
        <v>50</v>
      </c>
      <c r="L321" s="9" t="s">
        <v>285</v>
      </c>
      <c r="M321" s="9"/>
      <c r="N321" s="9"/>
      <c r="O321" s="9" t="s">
        <v>1402</v>
      </c>
    </row>
    <row r="322" spans="1:15">
      <c r="A322" s="9" t="s">
        <v>6</v>
      </c>
      <c r="B322" s="9" t="s">
        <v>229</v>
      </c>
      <c r="C322" s="9" t="s">
        <v>289</v>
      </c>
      <c r="D322" s="9" t="s">
        <v>290</v>
      </c>
      <c r="E322" s="9" t="s">
        <v>1403</v>
      </c>
      <c r="F322" s="9" t="s">
        <v>47</v>
      </c>
      <c r="G322" s="9" t="s">
        <v>12</v>
      </c>
      <c r="H322" s="9" t="s">
        <v>49</v>
      </c>
      <c r="I322" s="9" t="s">
        <v>49</v>
      </c>
      <c r="J322" s="9" t="s">
        <v>48</v>
      </c>
      <c r="K322" s="9" t="s">
        <v>50</v>
      </c>
      <c r="L322" s="9" t="s">
        <v>292</v>
      </c>
      <c r="M322" s="9"/>
      <c r="N322" s="9" t="s">
        <v>293</v>
      </c>
      <c r="O322" s="9" t="s">
        <v>1404</v>
      </c>
    </row>
    <row r="323" spans="1:15">
      <c r="A323" s="9" t="s">
        <v>6</v>
      </c>
      <c r="B323" s="9" t="s">
        <v>157</v>
      </c>
      <c r="C323" s="9" t="s">
        <v>211</v>
      </c>
      <c r="D323" s="9" t="s">
        <v>212</v>
      </c>
      <c r="E323" s="9" t="s">
        <v>1405</v>
      </c>
      <c r="F323" s="9" t="s">
        <v>83</v>
      </c>
      <c r="G323" s="9" t="s">
        <v>16</v>
      </c>
      <c r="H323" s="9" t="s">
        <v>49</v>
      </c>
      <c r="I323" s="9" t="s">
        <v>49</v>
      </c>
      <c r="J323" s="9" t="s">
        <v>48</v>
      </c>
      <c r="K323" s="9" t="s">
        <v>50</v>
      </c>
      <c r="L323" s="9" t="s">
        <v>211</v>
      </c>
      <c r="M323" s="9"/>
      <c r="N323" s="9"/>
      <c r="O323" s="9" t="s">
        <v>1406</v>
      </c>
    </row>
    <row r="324" spans="1:15">
      <c r="A324" s="9" t="s">
        <v>6</v>
      </c>
      <c r="B324" s="9" t="s">
        <v>157</v>
      </c>
      <c r="C324" s="9" t="s">
        <v>215</v>
      </c>
      <c r="D324" s="9" t="s">
        <v>68</v>
      </c>
      <c r="E324" s="9" t="s">
        <v>1407</v>
      </c>
      <c r="F324" s="9" t="s">
        <v>47</v>
      </c>
      <c r="G324" s="9" t="s">
        <v>12</v>
      </c>
      <c r="H324" s="9" t="s">
        <v>49</v>
      </c>
      <c r="I324" s="9" t="s">
        <v>49</v>
      </c>
      <c r="J324" s="9" t="s">
        <v>48</v>
      </c>
      <c r="K324" s="9" t="s">
        <v>50</v>
      </c>
      <c r="L324" s="9" t="s">
        <v>217</v>
      </c>
      <c r="M324" s="9"/>
      <c r="N324" s="9" t="s">
        <v>218</v>
      </c>
      <c r="O324" s="9" t="s">
        <v>1408</v>
      </c>
    </row>
    <row r="325" spans="1:15">
      <c r="A325" s="9" t="s">
        <v>6</v>
      </c>
      <c r="B325" s="9" t="s">
        <v>304</v>
      </c>
      <c r="C325" s="9" t="s">
        <v>305</v>
      </c>
      <c r="D325" s="9" t="s">
        <v>306</v>
      </c>
      <c r="E325" s="9" t="s">
        <v>1409</v>
      </c>
      <c r="F325" s="9" t="s">
        <v>47</v>
      </c>
      <c r="G325" s="9" t="s">
        <v>10</v>
      </c>
      <c r="H325" s="9" t="s">
        <v>48</v>
      </c>
      <c r="I325" s="9" t="s">
        <v>49</v>
      </c>
      <c r="J325" s="9" t="s">
        <v>48</v>
      </c>
      <c r="K325" s="9" t="s">
        <v>50</v>
      </c>
      <c r="L325" s="9" t="s">
        <v>308</v>
      </c>
      <c r="M325" s="9"/>
      <c r="N325" s="9"/>
      <c r="O325" s="9" t="s">
        <v>1410</v>
      </c>
    </row>
    <row r="326" spans="1:15">
      <c r="A326" s="9" t="s">
        <v>6</v>
      </c>
      <c r="B326" s="9" t="s">
        <v>304</v>
      </c>
      <c r="C326" s="9" t="s">
        <v>310</v>
      </c>
      <c r="D326" s="9" t="s">
        <v>311</v>
      </c>
      <c r="E326" s="9" t="s">
        <v>1411</v>
      </c>
      <c r="F326" s="9" t="s">
        <v>47</v>
      </c>
      <c r="G326" s="9" t="s">
        <v>10</v>
      </c>
      <c r="H326" s="9" t="s">
        <v>48</v>
      </c>
      <c r="I326" s="9" t="s">
        <v>49</v>
      </c>
      <c r="J326" s="9" t="s">
        <v>48</v>
      </c>
      <c r="K326" s="9" t="s">
        <v>50</v>
      </c>
      <c r="L326" s="9" t="s">
        <v>310</v>
      </c>
      <c r="M326" s="9"/>
      <c r="N326" s="9"/>
      <c r="O326" s="9" t="s">
        <v>1412</v>
      </c>
    </row>
    <row r="327" spans="1:15">
      <c r="A327" s="9" t="s">
        <v>6</v>
      </c>
      <c r="B327" s="9" t="s">
        <v>304</v>
      </c>
      <c r="C327" s="9" t="s">
        <v>314</v>
      </c>
      <c r="D327" s="9" t="s">
        <v>315</v>
      </c>
      <c r="E327" s="9" t="s">
        <v>1413</v>
      </c>
      <c r="F327" s="9" t="s">
        <v>47</v>
      </c>
      <c r="G327" s="9" t="s">
        <v>10</v>
      </c>
      <c r="H327" s="9" t="s">
        <v>48</v>
      </c>
      <c r="I327" s="9" t="s">
        <v>49</v>
      </c>
      <c r="J327" s="9" t="s">
        <v>48</v>
      </c>
      <c r="K327" s="9" t="s">
        <v>244</v>
      </c>
      <c r="L327" s="9" t="s">
        <v>317</v>
      </c>
      <c r="M327" s="9"/>
      <c r="N327" s="9" t="s">
        <v>318</v>
      </c>
      <c r="O327" s="9" t="s">
        <v>1414</v>
      </c>
    </row>
    <row r="328" spans="1:15">
      <c r="A328" s="9" t="s">
        <v>6</v>
      </c>
      <c r="B328" s="9" t="s">
        <v>304</v>
      </c>
      <c r="C328" s="9" t="s">
        <v>320</v>
      </c>
      <c r="D328" s="9" t="s">
        <v>241</v>
      </c>
      <c r="E328" s="9" t="s">
        <v>1415</v>
      </c>
      <c r="F328" s="9" t="s">
        <v>274</v>
      </c>
      <c r="G328" s="9" t="s">
        <v>10</v>
      </c>
      <c r="H328" s="9" t="s">
        <v>48</v>
      </c>
      <c r="I328" s="9" t="s">
        <v>49</v>
      </c>
      <c r="J328" s="9" t="s">
        <v>48</v>
      </c>
      <c r="K328" s="9" t="s">
        <v>244</v>
      </c>
      <c r="L328" s="9" t="s">
        <v>322</v>
      </c>
      <c r="M328" s="9"/>
      <c r="N328" s="9" t="s">
        <v>323</v>
      </c>
      <c r="O328" s="9" t="s">
        <v>1416</v>
      </c>
    </row>
    <row r="329" spans="1:15">
      <c r="A329" s="9" t="s">
        <v>6</v>
      </c>
      <c r="B329" s="9" t="s">
        <v>304</v>
      </c>
      <c r="C329" s="9" t="s">
        <v>325</v>
      </c>
      <c r="D329" s="9" t="s">
        <v>326</v>
      </c>
      <c r="E329" s="9" t="s">
        <v>1417</v>
      </c>
      <c r="F329" s="9" t="s">
        <v>176</v>
      </c>
      <c r="G329" s="9" t="s">
        <v>16</v>
      </c>
      <c r="H329" s="9" t="s">
        <v>49</v>
      </c>
      <c r="I329" s="9" t="s">
        <v>48</v>
      </c>
      <c r="J329" s="9" t="s">
        <v>48</v>
      </c>
      <c r="K329" s="9" t="s">
        <v>244</v>
      </c>
      <c r="L329" s="9" t="s">
        <v>325</v>
      </c>
      <c r="M329" s="9"/>
      <c r="N329" s="9"/>
      <c r="O329" s="9" t="s">
        <v>1418</v>
      </c>
    </row>
    <row r="330" spans="1:15">
      <c r="A330" s="9" t="s">
        <v>6</v>
      </c>
      <c r="B330" s="9" t="s">
        <v>304</v>
      </c>
      <c r="C330" s="9" t="s">
        <v>329</v>
      </c>
      <c r="D330" s="9" t="s">
        <v>68</v>
      </c>
      <c r="E330" s="9" t="s">
        <v>1419</v>
      </c>
      <c r="F330" s="9" t="s">
        <v>47</v>
      </c>
      <c r="G330" s="9" t="s">
        <v>12</v>
      </c>
      <c r="H330" s="9" t="s">
        <v>49</v>
      </c>
      <c r="I330" s="9" t="s">
        <v>49</v>
      </c>
      <c r="J330" s="9" t="s">
        <v>48</v>
      </c>
      <c r="K330" s="9" t="s">
        <v>128</v>
      </c>
      <c r="L330" s="9" t="s">
        <v>331</v>
      </c>
      <c r="M330" s="9"/>
      <c r="N330" s="9" t="s">
        <v>332</v>
      </c>
      <c r="O330" s="9" t="s">
        <v>1420</v>
      </c>
    </row>
    <row r="331" spans="1:15">
      <c r="A331" s="9" t="s">
        <v>6</v>
      </c>
      <c r="B331" s="9" t="s">
        <v>304</v>
      </c>
      <c r="C331" s="9" t="s">
        <v>334</v>
      </c>
      <c r="D331" s="9" t="s">
        <v>241</v>
      </c>
      <c r="E331" s="9" t="s">
        <v>1421</v>
      </c>
      <c r="F331" s="9" t="s">
        <v>243</v>
      </c>
      <c r="G331" s="9" t="s">
        <v>16</v>
      </c>
      <c r="H331" s="9" t="s">
        <v>49</v>
      </c>
      <c r="I331" s="9" t="s">
        <v>49</v>
      </c>
      <c r="J331" s="9" t="s">
        <v>48</v>
      </c>
      <c r="K331" s="9" t="s">
        <v>336</v>
      </c>
      <c r="L331" s="9" t="s">
        <v>337</v>
      </c>
      <c r="M331" s="9"/>
      <c r="N331" s="9" t="s">
        <v>323</v>
      </c>
      <c r="O331" s="9" t="s">
        <v>1422</v>
      </c>
    </row>
    <row r="332" spans="1:15">
      <c r="A332" s="9" t="s">
        <v>6</v>
      </c>
      <c r="B332" s="9" t="s">
        <v>304</v>
      </c>
      <c r="C332" s="9" t="s">
        <v>339</v>
      </c>
      <c r="D332" s="9" t="s">
        <v>340</v>
      </c>
      <c r="E332" s="9" t="s">
        <v>1423</v>
      </c>
      <c r="F332" s="9" t="s">
        <v>83</v>
      </c>
      <c r="G332" s="9" t="s">
        <v>16</v>
      </c>
      <c r="H332" s="9" t="s">
        <v>49</v>
      </c>
      <c r="I332" s="9" t="s">
        <v>49</v>
      </c>
      <c r="J332" s="9" t="s">
        <v>48</v>
      </c>
      <c r="K332" s="9" t="s">
        <v>50</v>
      </c>
      <c r="L332" s="9" t="s">
        <v>339</v>
      </c>
      <c r="M332" s="9"/>
      <c r="N332" s="9"/>
      <c r="O332" s="9" t="s">
        <v>1424</v>
      </c>
    </row>
    <row r="333" spans="1:15">
      <c r="A333" s="9" t="s">
        <v>6</v>
      </c>
      <c r="B333" s="9" t="s">
        <v>304</v>
      </c>
      <c r="C333" s="9" t="s">
        <v>343</v>
      </c>
      <c r="D333" s="9" t="s">
        <v>344</v>
      </c>
      <c r="E333" s="9" t="s">
        <v>1425</v>
      </c>
      <c r="F333" s="9" t="s">
        <v>47</v>
      </c>
      <c r="G333" s="9" t="s">
        <v>12</v>
      </c>
      <c r="H333" s="9" t="s">
        <v>49</v>
      </c>
      <c r="I333" s="9" t="s">
        <v>49</v>
      </c>
      <c r="J333" s="9" t="s">
        <v>48</v>
      </c>
      <c r="K333" s="9" t="s">
        <v>50</v>
      </c>
      <c r="L333" s="9" t="s">
        <v>346</v>
      </c>
      <c r="M333" s="9"/>
      <c r="N333" s="9" t="s">
        <v>347</v>
      </c>
      <c r="O333" s="9" t="s">
        <v>1426</v>
      </c>
    </row>
    <row r="334" spans="1:15">
      <c r="A334" s="9" t="s">
        <v>6</v>
      </c>
      <c r="B334" s="9" t="s">
        <v>304</v>
      </c>
      <c r="C334" s="9" t="s">
        <v>349</v>
      </c>
      <c r="D334" s="9" t="s">
        <v>350</v>
      </c>
      <c r="E334" s="9" t="s">
        <v>1427</v>
      </c>
      <c r="F334" s="9" t="s">
        <v>47</v>
      </c>
      <c r="G334" s="9" t="s">
        <v>10</v>
      </c>
      <c r="H334" s="9" t="s">
        <v>48</v>
      </c>
      <c r="I334" s="9" t="s">
        <v>49</v>
      </c>
      <c r="J334" s="9" t="s">
        <v>48</v>
      </c>
      <c r="K334" s="9" t="s">
        <v>50</v>
      </c>
      <c r="L334" s="9" t="s">
        <v>352</v>
      </c>
      <c r="M334" s="9"/>
      <c r="N334" s="9"/>
      <c r="O334" s="9" t="s">
        <v>1428</v>
      </c>
    </row>
    <row r="335" spans="1:15">
      <c r="A335" s="9" t="s">
        <v>6</v>
      </c>
      <c r="B335" s="9" t="s">
        <v>304</v>
      </c>
      <c r="C335" s="9" t="s">
        <v>354</v>
      </c>
      <c r="D335" s="9" t="s">
        <v>355</v>
      </c>
      <c r="E335" s="9" t="s">
        <v>1429</v>
      </c>
      <c r="F335" s="9" t="s">
        <v>83</v>
      </c>
      <c r="G335" s="9" t="s">
        <v>16</v>
      </c>
      <c r="H335" s="9" t="s">
        <v>49</v>
      </c>
      <c r="I335" s="9" t="s">
        <v>49</v>
      </c>
      <c r="J335" s="9" t="s">
        <v>48</v>
      </c>
      <c r="K335" s="9" t="s">
        <v>50</v>
      </c>
      <c r="L335" s="9" t="s">
        <v>357</v>
      </c>
      <c r="M335" s="9"/>
      <c r="N335" s="9" t="s">
        <v>358</v>
      </c>
      <c r="O335" s="9" t="s">
        <v>1430</v>
      </c>
    </row>
    <row r="336" spans="1:15">
      <c r="A336" s="9" t="s">
        <v>6</v>
      </c>
      <c r="B336" s="9" t="s">
        <v>304</v>
      </c>
      <c r="C336" s="9" t="s">
        <v>360</v>
      </c>
      <c r="D336" s="9" t="s">
        <v>361</v>
      </c>
      <c r="E336" s="9" t="s">
        <v>1431</v>
      </c>
      <c r="F336" s="9" t="s">
        <v>83</v>
      </c>
      <c r="G336" s="9" t="s">
        <v>16</v>
      </c>
      <c r="H336" s="9" t="s">
        <v>49</v>
      </c>
      <c r="I336" s="9" t="s">
        <v>49</v>
      </c>
      <c r="J336" s="9" t="s">
        <v>48</v>
      </c>
      <c r="K336" s="9" t="s">
        <v>50</v>
      </c>
      <c r="L336" s="9" t="s">
        <v>363</v>
      </c>
      <c r="M336" s="9"/>
      <c r="N336" s="9" t="s">
        <v>364</v>
      </c>
      <c r="O336" s="9" t="s">
        <v>1432</v>
      </c>
    </row>
    <row r="337" spans="1:15">
      <c r="A337" s="9" t="s">
        <v>6</v>
      </c>
      <c r="B337" s="9" t="s">
        <v>304</v>
      </c>
      <c r="C337" s="9" t="s">
        <v>366</v>
      </c>
      <c r="D337" s="9" t="s">
        <v>367</v>
      </c>
      <c r="E337" s="9" t="s">
        <v>1433</v>
      </c>
      <c r="F337" s="9" t="s">
        <v>83</v>
      </c>
      <c r="G337" s="9" t="s">
        <v>16</v>
      </c>
      <c r="H337" s="9" t="s">
        <v>49</v>
      </c>
      <c r="I337" s="9" t="s">
        <v>49</v>
      </c>
      <c r="J337" s="9" t="s">
        <v>48</v>
      </c>
      <c r="K337" s="9" t="s">
        <v>50</v>
      </c>
      <c r="L337" s="9" t="s">
        <v>369</v>
      </c>
      <c r="M337" s="9"/>
      <c r="N337" s="9" t="s">
        <v>370</v>
      </c>
      <c r="O337" s="9" t="s">
        <v>1434</v>
      </c>
    </row>
    <row r="338" spans="1:15">
      <c r="A338" s="9" t="s">
        <v>6</v>
      </c>
      <c r="B338" s="9" t="s">
        <v>304</v>
      </c>
      <c r="C338" s="9" t="s">
        <v>372</v>
      </c>
      <c r="D338" s="9" t="s">
        <v>373</v>
      </c>
      <c r="E338" s="9" t="s">
        <v>1435</v>
      </c>
      <c r="F338" s="9" t="s">
        <v>83</v>
      </c>
      <c r="G338" s="9" t="s">
        <v>16</v>
      </c>
      <c r="H338" s="9" t="s">
        <v>49</v>
      </c>
      <c r="I338" s="9" t="s">
        <v>49</v>
      </c>
      <c r="J338" s="9" t="s">
        <v>48</v>
      </c>
      <c r="K338" s="9" t="s">
        <v>50</v>
      </c>
      <c r="L338" s="9" t="s">
        <v>375</v>
      </c>
      <c r="M338" s="9"/>
      <c r="N338" s="9" t="s">
        <v>376</v>
      </c>
      <c r="O338" s="9" t="s">
        <v>1436</v>
      </c>
    </row>
    <row r="339" spans="1:15">
      <c r="A339" s="9" t="s">
        <v>6</v>
      </c>
      <c r="B339" s="9" t="s">
        <v>304</v>
      </c>
      <c r="C339" s="9" t="s">
        <v>378</v>
      </c>
      <c r="D339" s="9" t="s">
        <v>379</v>
      </c>
      <c r="E339" s="9" t="s">
        <v>1437</v>
      </c>
      <c r="F339" s="9" t="s">
        <v>83</v>
      </c>
      <c r="G339" s="9" t="s">
        <v>16</v>
      </c>
      <c r="H339" s="9" t="s">
        <v>49</v>
      </c>
      <c r="I339" s="9" t="s">
        <v>49</v>
      </c>
      <c r="J339" s="9" t="s">
        <v>48</v>
      </c>
      <c r="K339" s="9" t="s">
        <v>381</v>
      </c>
      <c r="L339" s="9" t="s">
        <v>382</v>
      </c>
      <c r="M339" s="9"/>
      <c r="N339" s="9" t="s">
        <v>383</v>
      </c>
      <c r="O339" s="9" t="s">
        <v>1438</v>
      </c>
    </row>
    <row r="340" spans="1:15">
      <c r="A340" s="9" t="s">
        <v>6</v>
      </c>
      <c r="B340" s="9" t="s">
        <v>304</v>
      </c>
      <c r="C340" s="9" t="s">
        <v>385</v>
      </c>
      <c r="D340" s="9" t="s">
        <v>386</v>
      </c>
      <c r="E340" s="9" t="s">
        <v>1439</v>
      </c>
      <c r="F340" s="9" t="s">
        <v>83</v>
      </c>
      <c r="G340" s="9" t="s">
        <v>16</v>
      </c>
      <c r="H340" s="9" t="s">
        <v>49</v>
      </c>
      <c r="I340" s="9" t="s">
        <v>49</v>
      </c>
      <c r="J340" s="9" t="s">
        <v>48</v>
      </c>
      <c r="K340" s="9" t="s">
        <v>50</v>
      </c>
      <c r="L340" s="9" t="s">
        <v>385</v>
      </c>
      <c r="M340" s="9"/>
      <c r="N340" s="9"/>
      <c r="O340" s="9" t="s">
        <v>1440</v>
      </c>
    </row>
    <row r="341" spans="1:15">
      <c r="A341" s="9" t="s">
        <v>6</v>
      </c>
      <c r="B341" s="9" t="s">
        <v>304</v>
      </c>
      <c r="C341" s="9" t="s">
        <v>389</v>
      </c>
      <c r="D341" s="9" t="s">
        <v>390</v>
      </c>
      <c r="E341" s="9" t="s">
        <v>1441</v>
      </c>
      <c r="F341" s="9" t="s">
        <v>47</v>
      </c>
      <c r="G341" s="9" t="s">
        <v>12</v>
      </c>
      <c r="H341" s="9" t="s">
        <v>49</v>
      </c>
      <c r="I341" s="9" t="s">
        <v>49</v>
      </c>
      <c r="J341" s="9" t="s">
        <v>48</v>
      </c>
      <c r="K341" s="9" t="s">
        <v>50</v>
      </c>
      <c r="L341" s="9" t="s">
        <v>363</v>
      </c>
      <c r="M341" s="9"/>
      <c r="N341" s="9" t="s">
        <v>392</v>
      </c>
      <c r="O341" s="9" t="s">
        <v>1442</v>
      </c>
    </row>
    <row r="342" spans="1:15">
      <c r="A342" s="9" t="s">
        <v>6</v>
      </c>
      <c r="B342" s="9" t="s">
        <v>304</v>
      </c>
      <c r="C342" s="9" t="s">
        <v>394</v>
      </c>
      <c r="D342" s="9" t="s">
        <v>395</v>
      </c>
      <c r="E342" s="9" t="s">
        <v>1443</v>
      </c>
      <c r="F342" s="9" t="s">
        <v>47</v>
      </c>
      <c r="G342" s="9" t="s">
        <v>10</v>
      </c>
      <c r="H342" s="9" t="s">
        <v>48</v>
      </c>
      <c r="I342" s="9" t="s">
        <v>49</v>
      </c>
      <c r="J342" s="9" t="s">
        <v>48</v>
      </c>
      <c r="K342" s="9" t="s">
        <v>381</v>
      </c>
      <c r="L342" s="9" t="s">
        <v>394</v>
      </c>
      <c r="M342" s="9"/>
      <c r="N342" s="9"/>
      <c r="O342" s="9" t="s">
        <v>1444</v>
      </c>
    </row>
    <row r="343" spans="1:15">
      <c r="A343" s="9" t="s">
        <v>6</v>
      </c>
      <c r="B343" s="9" t="s">
        <v>304</v>
      </c>
      <c r="C343" s="9" t="s">
        <v>398</v>
      </c>
      <c r="D343" s="9" t="s">
        <v>399</v>
      </c>
      <c r="E343" s="9" t="s">
        <v>1445</v>
      </c>
      <c r="F343" s="9" t="s">
        <v>47</v>
      </c>
      <c r="G343" s="9" t="s">
        <v>10</v>
      </c>
      <c r="H343" s="9" t="s">
        <v>48</v>
      </c>
      <c r="I343" s="9" t="s">
        <v>49</v>
      </c>
      <c r="J343" s="9" t="s">
        <v>48</v>
      </c>
      <c r="K343" s="9" t="s">
        <v>381</v>
      </c>
      <c r="L343" s="9" t="s">
        <v>401</v>
      </c>
      <c r="M343" s="9"/>
      <c r="N343" s="9" t="s">
        <v>402</v>
      </c>
      <c r="O343" s="9" t="s">
        <v>1446</v>
      </c>
    </row>
    <row r="344" spans="1:15">
      <c r="A344" s="9" t="s">
        <v>6</v>
      </c>
      <c r="B344" s="9" t="s">
        <v>304</v>
      </c>
      <c r="C344" s="9" t="s">
        <v>404</v>
      </c>
      <c r="D344" s="9" t="s">
        <v>405</v>
      </c>
      <c r="E344" s="9" t="s">
        <v>1447</v>
      </c>
      <c r="F344" s="9" t="s">
        <v>407</v>
      </c>
      <c r="G344" s="9" t="s">
        <v>16</v>
      </c>
      <c r="H344" s="9" t="s">
        <v>49</v>
      </c>
      <c r="I344" s="9" t="s">
        <v>49</v>
      </c>
      <c r="J344" s="9" t="s">
        <v>48</v>
      </c>
      <c r="K344" s="9" t="s">
        <v>50</v>
      </c>
      <c r="L344" s="9" t="s">
        <v>404</v>
      </c>
      <c r="M344" s="9"/>
      <c r="N344" s="9"/>
      <c r="O344" s="9" t="s">
        <v>1448</v>
      </c>
    </row>
    <row r="345" spans="1:15">
      <c r="A345" s="9" t="s">
        <v>6</v>
      </c>
      <c r="B345" s="9" t="s">
        <v>304</v>
      </c>
      <c r="C345" s="9" t="s">
        <v>409</v>
      </c>
      <c r="D345" s="9" t="s">
        <v>410</v>
      </c>
      <c r="E345" s="9" t="s">
        <v>1449</v>
      </c>
      <c r="F345" s="9" t="s">
        <v>47</v>
      </c>
      <c r="G345" s="9" t="s">
        <v>12</v>
      </c>
      <c r="H345" s="9" t="s">
        <v>49</v>
      </c>
      <c r="I345" s="9" t="s">
        <v>49</v>
      </c>
      <c r="J345" s="9" t="s">
        <v>48</v>
      </c>
      <c r="K345" s="9" t="s">
        <v>128</v>
      </c>
      <c r="L345" s="9" t="s">
        <v>412</v>
      </c>
      <c r="M345" s="9"/>
      <c r="N345" s="9" t="s">
        <v>413</v>
      </c>
      <c r="O345" s="9" t="s">
        <v>1450</v>
      </c>
    </row>
    <row r="346" spans="1:15">
      <c r="A346" s="9" t="s">
        <v>6</v>
      </c>
      <c r="B346" s="9" t="s">
        <v>304</v>
      </c>
      <c r="C346" s="9" t="s">
        <v>415</v>
      </c>
      <c r="D346" s="9" t="s">
        <v>416</v>
      </c>
      <c r="E346" s="9" t="s">
        <v>1451</v>
      </c>
      <c r="F346" s="9" t="s">
        <v>47</v>
      </c>
      <c r="G346" s="9" t="s">
        <v>12</v>
      </c>
      <c r="H346" s="9" t="s">
        <v>49</v>
      </c>
      <c r="I346" s="9" t="s">
        <v>49</v>
      </c>
      <c r="J346" s="9" t="s">
        <v>48</v>
      </c>
      <c r="K346" s="9" t="s">
        <v>418</v>
      </c>
      <c r="L346" s="9" t="s">
        <v>415</v>
      </c>
      <c r="M346" s="9"/>
      <c r="N346" s="9"/>
      <c r="O346" s="9" t="s">
        <v>1452</v>
      </c>
    </row>
    <row r="347" spans="1:15">
      <c r="A347" s="9" t="s">
        <v>6</v>
      </c>
      <c r="B347" s="9" t="s">
        <v>304</v>
      </c>
      <c r="C347" s="9" t="s">
        <v>68</v>
      </c>
      <c r="D347" s="9" t="s">
        <v>68</v>
      </c>
      <c r="E347" s="9" t="s">
        <v>1453</v>
      </c>
      <c r="F347" s="9" t="s">
        <v>47</v>
      </c>
      <c r="G347" s="9" t="s">
        <v>12</v>
      </c>
      <c r="H347" s="9" t="s">
        <v>49</v>
      </c>
      <c r="I347" s="9" t="s">
        <v>49</v>
      </c>
      <c r="J347" s="9" t="s">
        <v>48</v>
      </c>
      <c r="K347" s="9" t="s">
        <v>50</v>
      </c>
      <c r="L347" s="9" t="s">
        <v>421</v>
      </c>
      <c r="M347" s="9"/>
      <c r="N347" s="9" t="s">
        <v>422</v>
      </c>
      <c r="O347" s="9" t="s">
        <v>1454</v>
      </c>
    </row>
    <row r="348" spans="1:15">
      <c r="A348" s="9" t="s">
        <v>6</v>
      </c>
      <c r="B348" s="9" t="s">
        <v>304</v>
      </c>
      <c r="C348" s="9" t="s">
        <v>424</v>
      </c>
      <c r="D348" s="9" t="s">
        <v>425</v>
      </c>
      <c r="E348" s="9" t="s">
        <v>1455</v>
      </c>
      <c r="F348" s="9" t="s">
        <v>47</v>
      </c>
      <c r="G348" s="9" t="s">
        <v>10</v>
      </c>
      <c r="H348" s="9" t="s">
        <v>48</v>
      </c>
      <c r="I348" s="9" t="s">
        <v>49</v>
      </c>
      <c r="J348" s="9" t="s">
        <v>48</v>
      </c>
      <c r="K348" s="9" t="s">
        <v>50</v>
      </c>
      <c r="L348" s="9" t="s">
        <v>424</v>
      </c>
      <c r="M348" s="9"/>
      <c r="N348" s="9"/>
      <c r="O348" s="9" t="s">
        <v>1456</v>
      </c>
    </row>
    <row r="349" spans="1:15">
      <c r="A349" s="9" t="s">
        <v>6</v>
      </c>
      <c r="B349" s="9" t="s">
        <v>304</v>
      </c>
      <c r="C349" s="9" t="s">
        <v>428</v>
      </c>
      <c r="D349" s="9" t="s">
        <v>429</v>
      </c>
      <c r="E349" s="9" t="s">
        <v>1457</v>
      </c>
      <c r="F349" s="9" t="s">
        <v>47</v>
      </c>
      <c r="G349" s="9" t="s">
        <v>10</v>
      </c>
      <c r="H349" s="9" t="s">
        <v>48</v>
      </c>
      <c r="I349" s="9" t="s">
        <v>49</v>
      </c>
      <c r="J349" s="9" t="s">
        <v>48</v>
      </c>
      <c r="K349" s="9" t="s">
        <v>50</v>
      </c>
      <c r="L349" s="9" t="s">
        <v>431</v>
      </c>
      <c r="M349" s="9"/>
      <c r="N349" s="9" t="s">
        <v>432</v>
      </c>
      <c r="O349" s="9" t="s">
        <v>1458</v>
      </c>
    </row>
    <row r="350" spans="1:15">
      <c r="A350" s="9" t="s">
        <v>6</v>
      </c>
      <c r="B350" s="9" t="s">
        <v>304</v>
      </c>
      <c r="C350" s="9" t="s">
        <v>434</v>
      </c>
      <c r="D350" s="9" t="s">
        <v>410</v>
      </c>
      <c r="E350" s="9" t="s">
        <v>1459</v>
      </c>
      <c r="F350" s="9" t="s">
        <v>83</v>
      </c>
      <c r="G350" s="9" t="s">
        <v>14</v>
      </c>
      <c r="H350" s="9" t="s">
        <v>49</v>
      </c>
      <c r="I350" s="9" t="s">
        <v>49</v>
      </c>
      <c r="J350" s="9" t="s">
        <v>48</v>
      </c>
      <c r="K350" s="9" t="s">
        <v>128</v>
      </c>
      <c r="L350" s="9" t="s">
        <v>436</v>
      </c>
      <c r="M350" s="9"/>
      <c r="N350" s="9" t="s">
        <v>437</v>
      </c>
      <c r="O350" s="9" t="s">
        <v>1460</v>
      </c>
    </row>
    <row r="351" spans="1:15">
      <c r="A351" s="9" t="s">
        <v>6</v>
      </c>
      <c r="B351" s="9" t="s">
        <v>304</v>
      </c>
      <c r="C351" s="9" t="s">
        <v>439</v>
      </c>
      <c r="D351" s="9" t="s">
        <v>241</v>
      </c>
      <c r="E351" s="9" t="s">
        <v>1461</v>
      </c>
      <c r="F351" s="9" t="s">
        <v>243</v>
      </c>
      <c r="G351" s="9" t="s">
        <v>16</v>
      </c>
      <c r="H351" s="9" t="s">
        <v>49</v>
      </c>
      <c r="I351" s="9" t="s">
        <v>49</v>
      </c>
      <c r="J351" s="9" t="s">
        <v>48</v>
      </c>
      <c r="K351" s="9" t="s">
        <v>244</v>
      </c>
      <c r="L351" s="9" t="s">
        <v>441</v>
      </c>
      <c r="M351" s="9"/>
      <c r="N351" s="9" t="s">
        <v>442</v>
      </c>
      <c r="O351" s="9" t="s">
        <v>1462</v>
      </c>
    </row>
    <row r="352" spans="1:15">
      <c r="A352" s="9" t="s">
        <v>6</v>
      </c>
      <c r="B352" s="9" t="s">
        <v>304</v>
      </c>
      <c r="C352" s="9" t="s">
        <v>444</v>
      </c>
      <c r="D352" s="9" t="s">
        <v>445</v>
      </c>
      <c r="E352" s="9" t="s">
        <v>1463</v>
      </c>
      <c r="F352" s="9" t="s">
        <v>83</v>
      </c>
      <c r="G352" s="9" t="s">
        <v>16</v>
      </c>
      <c r="H352" s="9" t="s">
        <v>49</v>
      </c>
      <c r="I352" s="9" t="s">
        <v>49</v>
      </c>
      <c r="J352" s="9" t="s">
        <v>48</v>
      </c>
      <c r="K352" s="9" t="s">
        <v>50</v>
      </c>
      <c r="L352" s="9" t="s">
        <v>447</v>
      </c>
      <c r="M352" s="9"/>
      <c r="N352" s="9" t="s">
        <v>448</v>
      </c>
      <c r="O352" s="9" t="s">
        <v>1464</v>
      </c>
    </row>
    <row r="353" spans="1:15">
      <c r="A353" s="9" t="s">
        <v>6</v>
      </c>
      <c r="B353" s="9" t="s">
        <v>304</v>
      </c>
      <c r="C353" s="9" t="s">
        <v>450</v>
      </c>
      <c r="D353" s="9" t="s">
        <v>451</v>
      </c>
      <c r="E353" s="9" t="s">
        <v>1465</v>
      </c>
      <c r="F353" s="9" t="s">
        <v>83</v>
      </c>
      <c r="G353" s="9" t="s">
        <v>16</v>
      </c>
      <c r="H353" s="9" t="s">
        <v>49</v>
      </c>
      <c r="I353" s="9" t="s">
        <v>49</v>
      </c>
      <c r="J353" s="9" t="s">
        <v>48</v>
      </c>
      <c r="K353" s="9" t="s">
        <v>50</v>
      </c>
      <c r="L353" s="9" t="s">
        <v>453</v>
      </c>
      <c r="M353" s="9"/>
      <c r="N353" s="9"/>
      <c r="O353" s="9" t="s">
        <v>1466</v>
      </c>
    </row>
    <row r="354" spans="1:15">
      <c r="A354" s="9" t="s">
        <v>6</v>
      </c>
      <c r="B354" s="9" t="s">
        <v>304</v>
      </c>
      <c r="C354" s="9" t="s">
        <v>455</v>
      </c>
      <c r="D354" s="9" t="s">
        <v>344</v>
      </c>
      <c r="E354" s="9" t="s">
        <v>1467</v>
      </c>
      <c r="F354" s="9" t="s">
        <v>83</v>
      </c>
      <c r="G354" s="9" t="s">
        <v>16</v>
      </c>
      <c r="H354" s="9" t="s">
        <v>49</v>
      </c>
      <c r="I354" s="9" t="s">
        <v>49</v>
      </c>
      <c r="J354" s="9" t="s">
        <v>48</v>
      </c>
      <c r="K354" s="9" t="s">
        <v>50</v>
      </c>
      <c r="L354" s="9" t="s">
        <v>457</v>
      </c>
      <c r="M354" s="9"/>
      <c r="N354" s="9" t="s">
        <v>458</v>
      </c>
      <c r="O354" s="9" t="s">
        <v>1468</v>
      </c>
    </row>
    <row r="355" spans="1:15">
      <c r="A355" s="9" t="s">
        <v>6</v>
      </c>
      <c r="B355" s="9" t="s">
        <v>304</v>
      </c>
      <c r="C355" s="9" t="s">
        <v>460</v>
      </c>
      <c r="D355" s="9" t="s">
        <v>461</v>
      </c>
      <c r="E355" s="9" t="s">
        <v>1469</v>
      </c>
      <c r="F355" s="9" t="s">
        <v>83</v>
      </c>
      <c r="G355" s="9" t="s">
        <v>16</v>
      </c>
      <c r="H355" s="9" t="s">
        <v>49</v>
      </c>
      <c r="I355" s="9" t="s">
        <v>49</v>
      </c>
      <c r="J355" s="9" t="s">
        <v>48</v>
      </c>
      <c r="K355" s="9" t="s">
        <v>50</v>
      </c>
      <c r="L355" s="9" t="s">
        <v>463</v>
      </c>
      <c r="M355" s="9"/>
      <c r="N355" s="9" t="s">
        <v>464</v>
      </c>
      <c r="O355" s="9" t="s">
        <v>1470</v>
      </c>
    </row>
    <row r="356" spans="1:15">
      <c r="A356" s="9" t="s">
        <v>6</v>
      </c>
      <c r="B356" s="9" t="s">
        <v>304</v>
      </c>
      <c r="C356" s="9" t="s">
        <v>466</v>
      </c>
      <c r="D356" s="9" t="s">
        <v>467</v>
      </c>
      <c r="E356" s="9" t="s">
        <v>1471</v>
      </c>
      <c r="F356" s="9" t="s">
        <v>83</v>
      </c>
      <c r="G356" s="9" t="s">
        <v>16</v>
      </c>
      <c r="H356" s="9" t="s">
        <v>49</v>
      </c>
      <c r="I356" s="9" t="s">
        <v>49</v>
      </c>
      <c r="J356" s="9" t="s">
        <v>48</v>
      </c>
      <c r="K356" s="9" t="s">
        <v>469</v>
      </c>
      <c r="L356" s="9" t="s">
        <v>470</v>
      </c>
      <c r="M356" s="9"/>
      <c r="N356" s="9" t="s">
        <v>471</v>
      </c>
      <c r="O356" s="9" t="s">
        <v>1472</v>
      </c>
    </row>
    <row r="357" spans="1:15">
      <c r="A357" s="9" t="s">
        <v>6</v>
      </c>
      <c r="B357" s="9" t="s">
        <v>473</v>
      </c>
      <c r="C357" s="9" t="s">
        <v>474</v>
      </c>
      <c r="D357" s="9" t="s">
        <v>475</v>
      </c>
      <c r="E357" s="9" t="s">
        <v>1473</v>
      </c>
      <c r="F357" s="9" t="s">
        <v>47</v>
      </c>
      <c r="G357" s="9" t="s">
        <v>10</v>
      </c>
      <c r="H357" s="9" t="s">
        <v>48</v>
      </c>
      <c r="I357" s="9" t="s">
        <v>49</v>
      </c>
      <c r="J357" s="9" t="s">
        <v>48</v>
      </c>
      <c r="K357" s="9" t="s">
        <v>50</v>
      </c>
      <c r="L357" s="9" t="s">
        <v>477</v>
      </c>
      <c r="M357" s="9"/>
      <c r="N357" s="9"/>
      <c r="O357" s="9" t="s">
        <v>1474</v>
      </c>
    </row>
    <row r="358" spans="1:15">
      <c r="A358" s="9" t="s">
        <v>6</v>
      </c>
      <c r="B358" s="9" t="s">
        <v>473</v>
      </c>
      <c r="C358" s="9" t="s">
        <v>310</v>
      </c>
      <c r="D358" s="9" t="s">
        <v>311</v>
      </c>
      <c r="E358" s="9" t="s">
        <v>1475</v>
      </c>
      <c r="F358" s="9" t="s">
        <v>47</v>
      </c>
      <c r="G358" s="9" t="s">
        <v>10</v>
      </c>
      <c r="H358" s="9" t="s">
        <v>48</v>
      </c>
      <c r="I358" s="9" t="s">
        <v>49</v>
      </c>
      <c r="J358" s="9" t="s">
        <v>48</v>
      </c>
      <c r="K358" s="9" t="s">
        <v>50</v>
      </c>
      <c r="L358" s="9" t="s">
        <v>310</v>
      </c>
      <c r="M358" s="9"/>
      <c r="N358" s="9"/>
      <c r="O358" s="9" t="s">
        <v>1476</v>
      </c>
    </row>
    <row r="359" spans="1:15">
      <c r="A359" s="9" t="s">
        <v>6</v>
      </c>
      <c r="B359" s="9" t="s">
        <v>473</v>
      </c>
      <c r="C359" s="9" t="s">
        <v>481</v>
      </c>
      <c r="D359" s="9" t="s">
        <v>315</v>
      </c>
      <c r="E359" s="9" t="s">
        <v>1477</v>
      </c>
      <c r="F359" s="9" t="s">
        <v>47</v>
      </c>
      <c r="G359" s="9" t="s">
        <v>10</v>
      </c>
      <c r="H359" s="9" t="s">
        <v>48</v>
      </c>
      <c r="I359" s="9" t="s">
        <v>49</v>
      </c>
      <c r="J359" s="9" t="s">
        <v>48</v>
      </c>
      <c r="K359" s="9" t="s">
        <v>244</v>
      </c>
      <c r="L359" s="9" t="s">
        <v>483</v>
      </c>
      <c r="M359" s="9"/>
      <c r="N359" s="9" t="s">
        <v>437</v>
      </c>
      <c r="O359" s="9" t="s">
        <v>1478</v>
      </c>
    </row>
    <row r="360" spans="1:15">
      <c r="A360" s="9" t="s">
        <v>6</v>
      </c>
      <c r="B360" s="9" t="s">
        <v>473</v>
      </c>
      <c r="C360" s="9" t="s">
        <v>485</v>
      </c>
      <c r="D360" s="9" t="s">
        <v>241</v>
      </c>
      <c r="E360" s="9" t="s">
        <v>1479</v>
      </c>
      <c r="F360" s="9" t="s">
        <v>274</v>
      </c>
      <c r="G360" s="9" t="s">
        <v>10</v>
      </c>
      <c r="H360" s="9" t="s">
        <v>48</v>
      </c>
      <c r="I360" s="9" t="s">
        <v>49</v>
      </c>
      <c r="J360" s="9" t="s">
        <v>48</v>
      </c>
      <c r="K360" s="9" t="s">
        <v>244</v>
      </c>
      <c r="L360" s="9" t="s">
        <v>487</v>
      </c>
      <c r="M360" s="9"/>
      <c r="N360" s="9" t="s">
        <v>488</v>
      </c>
      <c r="O360" s="9" t="s">
        <v>1480</v>
      </c>
    </row>
    <row r="361" spans="1:15">
      <c r="A361" s="9" t="s">
        <v>6</v>
      </c>
      <c r="B361" s="9" t="s">
        <v>473</v>
      </c>
      <c r="C361" s="9" t="s">
        <v>325</v>
      </c>
      <c r="D361" s="9" t="s">
        <v>326</v>
      </c>
      <c r="E361" s="9" t="s">
        <v>1481</v>
      </c>
      <c r="F361" s="9" t="s">
        <v>83</v>
      </c>
      <c r="G361" s="9" t="s">
        <v>16</v>
      </c>
      <c r="H361" s="9" t="s">
        <v>49</v>
      </c>
      <c r="I361" s="9" t="s">
        <v>49</v>
      </c>
      <c r="J361" s="9" t="s">
        <v>48</v>
      </c>
      <c r="K361" s="9" t="s">
        <v>244</v>
      </c>
      <c r="L361" s="9" t="s">
        <v>325</v>
      </c>
      <c r="M361" s="9"/>
      <c r="N361" s="9"/>
      <c r="O361" s="9" t="s">
        <v>1482</v>
      </c>
    </row>
    <row r="362" spans="1:15">
      <c r="A362" s="9" t="s">
        <v>6</v>
      </c>
      <c r="B362" s="9" t="s">
        <v>473</v>
      </c>
      <c r="C362" s="9" t="s">
        <v>492</v>
      </c>
      <c r="D362" s="9" t="s">
        <v>68</v>
      </c>
      <c r="E362" s="9" t="s">
        <v>1483</v>
      </c>
      <c r="F362" s="9" t="s">
        <v>47</v>
      </c>
      <c r="G362" s="9" t="s">
        <v>12</v>
      </c>
      <c r="H362" s="9" t="s">
        <v>49</v>
      </c>
      <c r="I362" s="9" t="s">
        <v>49</v>
      </c>
      <c r="J362" s="9" t="s">
        <v>48</v>
      </c>
      <c r="K362" s="9" t="s">
        <v>50</v>
      </c>
      <c r="L362" s="9" t="s">
        <v>494</v>
      </c>
      <c r="M362" s="9"/>
      <c r="N362" s="9" t="s">
        <v>495</v>
      </c>
      <c r="O362" s="9" t="s">
        <v>1484</v>
      </c>
    </row>
    <row r="363" spans="1:15">
      <c r="A363" s="9" t="s">
        <v>6</v>
      </c>
      <c r="B363" s="9" t="s">
        <v>473</v>
      </c>
      <c r="C363" s="9" t="s">
        <v>497</v>
      </c>
      <c r="D363" s="9" t="s">
        <v>241</v>
      </c>
      <c r="E363" s="9" t="s">
        <v>1485</v>
      </c>
      <c r="F363" s="9" t="s">
        <v>243</v>
      </c>
      <c r="G363" s="9" t="s">
        <v>16</v>
      </c>
      <c r="H363" s="9" t="s">
        <v>49</v>
      </c>
      <c r="I363" s="9" t="s">
        <v>49</v>
      </c>
      <c r="J363" s="9" t="s">
        <v>48</v>
      </c>
      <c r="K363" s="9" t="s">
        <v>244</v>
      </c>
      <c r="L363" s="9" t="s">
        <v>499</v>
      </c>
      <c r="M363" s="9"/>
      <c r="N363" s="9" t="s">
        <v>323</v>
      </c>
      <c r="O363" s="9" t="s">
        <v>1486</v>
      </c>
    </row>
    <row r="364" spans="1:15">
      <c r="A364" s="9" t="s">
        <v>6</v>
      </c>
      <c r="B364" s="9" t="s">
        <v>473</v>
      </c>
      <c r="C364" s="9" t="s">
        <v>339</v>
      </c>
      <c r="D364" s="9" t="s">
        <v>340</v>
      </c>
      <c r="E364" s="9" t="s">
        <v>1487</v>
      </c>
      <c r="F364" s="9" t="s">
        <v>83</v>
      </c>
      <c r="G364" s="9" t="s">
        <v>16</v>
      </c>
      <c r="H364" s="9" t="s">
        <v>49</v>
      </c>
      <c r="I364" s="9" t="s">
        <v>49</v>
      </c>
      <c r="J364" s="9" t="s">
        <v>48</v>
      </c>
      <c r="K364" s="9" t="s">
        <v>50</v>
      </c>
      <c r="L364" s="9" t="s">
        <v>339</v>
      </c>
      <c r="M364" s="9"/>
      <c r="N364" s="9"/>
      <c r="O364" s="9" t="s">
        <v>1488</v>
      </c>
    </row>
    <row r="365" spans="1:15">
      <c r="A365" s="9" t="s">
        <v>6</v>
      </c>
      <c r="B365" s="9" t="s">
        <v>473</v>
      </c>
      <c r="C365" s="9" t="s">
        <v>503</v>
      </c>
      <c r="D365" s="9" t="s">
        <v>344</v>
      </c>
      <c r="E365" s="9" t="s">
        <v>1489</v>
      </c>
      <c r="F365" s="9" t="s">
        <v>47</v>
      </c>
      <c r="G365" s="9" t="s">
        <v>12</v>
      </c>
      <c r="H365" s="9" t="s">
        <v>49</v>
      </c>
      <c r="I365" s="9" t="s">
        <v>49</v>
      </c>
      <c r="J365" s="9" t="s">
        <v>48</v>
      </c>
      <c r="K365" s="9" t="s">
        <v>50</v>
      </c>
      <c r="L365" s="9" t="s">
        <v>505</v>
      </c>
      <c r="M365" s="9"/>
      <c r="N365" s="9" t="s">
        <v>506</v>
      </c>
      <c r="O365" s="9" t="s">
        <v>1490</v>
      </c>
    </row>
    <row r="366" spans="1:15">
      <c r="A366" s="9" t="s">
        <v>6</v>
      </c>
      <c r="B366" s="9" t="s">
        <v>473</v>
      </c>
      <c r="C366" s="9" t="s">
        <v>508</v>
      </c>
      <c r="D366" s="9" t="s">
        <v>350</v>
      </c>
      <c r="E366" s="9" t="s">
        <v>1491</v>
      </c>
      <c r="F366" s="9" t="s">
        <v>47</v>
      </c>
      <c r="G366" s="9" t="s">
        <v>10</v>
      </c>
      <c r="H366" s="9" t="s">
        <v>48</v>
      </c>
      <c r="I366" s="9" t="s">
        <v>49</v>
      </c>
      <c r="J366" s="9" t="s">
        <v>48</v>
      </c>
      <c r="K366" s="9" t="s">
        <v>50</v>
      </c>
      <c r="L366" s="9" t="s">
        <v>510</v>
      </c>
      <c r="M366" s="9"/>
      <c r="N366" s="9"/>
      <c r="O366" s="9" t="s">
        <v>1492</v>
      </c>
    </row>
    <row r="367" spans="1:15">
      <c r="A367" s="9" t="s">
        <v>6</v>
      </c>
      <c r="B367" s="9" t="s">
        <v>473</v>
      </c>
      <c r="C367" s="9" t="s">
        <v>512</v>
      </c>
      <c r="D367" s="9" t="s">
        <v>355</v>
      </c>
      <c r="E367" s="9" t="s">
        <v>1493</v>
      </c>
      <c r="F367" s="9" t="s">
        <v>83</v>
      </c>
      <c r="G367" s="9" t="s">
        <v>16</v>
      </c>
      <c r="H367" s="9" t="s">
        <v>49</v>
      </c>
      <c r="I367" s="9" t="s">
        <v>49</v>
      </c>
      <c r="J367" s="9" t="s">
        <v>48</v>
      </c>
      <c r="K367" s="9" t="s">
        <v>50</v>
      </c>
      <c r="L367" s="9" t="s">
        <v>357</v>
      </c>
      <c r="M367" s="9"/>
      <c r="N367" s="9" t="s">
        <v>514</v>
      </c>
      <c r="O367" s="9" t="s">
        <v>1494</v>
      </c>
    </row>
    <row r="368" spans="1:15">
      <c r="A368" s="9" t="s">
        <v>6</v>
      </c>
      <c r="B368" s="9" t="s">
        <v>473</v>
      </c>
      <c r="C368" s="9" t="s">
        <v>516</v>
      </c>
      <c r="D368" s="9" t="s">
        <v>361</v>
      </c>
      <c r="E368" s="9" t="s">
        <v>1495</v>
      </c>
      <c r="F368" s="9" t="s">
        <v>83</v>
      </c>
      <c r="G368" s="9" t="s">
        <v>16</v>
      </c>
      <c r="H368" s="9" t="s">
        <v>49</v>
      </c>
      <c r="I368" s="9" t="s">
        <v>49</v>
      </c>
      <c r="J368" s="9" t="s">
        <v>48</v>
      </c>
      <c r="K368" s="9" t="s">
        <v>50</v>
      </c>
      <c r="L368" s="9" t="s">
        <v>363</v>
      </c>
      <c r="M368" s="9"/>
      <c r="N368" s="9" t="s">
        <v>518</v>
      </c>
      <c r="O368" s="9" t="s">
        <v>1496</v>
      </c>
    </row>
    <row r="369" spans="1:15">
      <c r="A369" s="9" t="s">
        <v>6</v>
      </c>
      <c r="B369" s="9" t="s">
        <v>473</v>
      </c>
      <c r="C369" s="9" t="s">
        <v>520</v>
      </c>
      <c r="D369" s="9" t="s">
        <v>367</v>
      </c>
      <c r="E369" s="9" t="s">
        <v>1497</v>
      </c>
      <c r="F369" s="9" t="s">
        <v>83</v>
      </c>
      <c r="G369" s="9" t="s">
        <v>16</v>
      </c>
      <c r="H369" s="9" t="s">
        <v>49</v>
      </c>
      <c r="I369" s="9" t="s">
        <v>49</v>
      </c>
      <c r="J369" s="9" t="s">
        <v>48</v>
      </c>
      <c r="K369" s="9" t="s">
        <v>50</v>
      </c>
      <c r="L369" s="9" t="s">
        <v>522</v>
      </c>
      <c r="M369" s="9"/>
      <c r="N369" s="9" t="s">
        <v>523</v>
      </c>
      <c r="O369" s="9" t="s">
        <v>1498</v>
      </c>
    </row>
    <row r="370" spans="1:15">
      <c r="A370" s="9" t="s">
        <v>6</v>
      </c>
      <c r="B370" s="9" t="s">
        <v>473</v>
      </c>
      <c r="C370" s="9" t="s">
        <v>525</v>
      </c>
      <c r="D370" s="9" t="s">
        <v>373</v>
      </c>
      <c r="E370" s="9" t="s">
        <v>1499</v>
      </c>
      <c r="F370" s="9" t="s">
        <v>83</v>
      </c>
      <c r="G370" s="9" t="s">
        <v>16</v>
      </c>
      <c r="H370" s="9" t="s">
        <v>49</v>
      </c>
      <c r="I370" s="9" t="s">
        <v>49</v>
      </c>
      <c r="J370" s="9" t="s">
        <v>48</v>
      </c>
      <c r="K370" s="9" t="s">
        <v>50</v>
      </c>
      <c r="L370" s="9" t="s">
        <v>375</v>
      </c>
      <c r="M370" s="9"/>
      <c r="N370" s="9" t="s">
        <v>527</v>
      </c>
      <c r="O370" s="9" t="s">
        <v>1500</v>
      </c>
    </row>
    <row r="371" spans="1:15">
      <c r="A371" s="9" t="s">
        <v>6</v>
      </c>
      <c r="B371" s="9" t="s">
        <v>473</v>
      </c>
      <c r="C371" s="9" t="s">
        <v>529</v>
      </c>
      <c r="D371" s="9" t="s">
        <v>379</v>
      </c>
      <c r="E371" s="9" t="s">
        <v>1501</v>
      </c>
      <c r="F371" s="9" t="s">
        <v>83</v>
      </c>
      <c r="G371" s="9" t="s">
        <v>16</v>
      </c>
      <c r="H371" s="9" t="s">
        <v>49</v>
      </c>
      <c r="I371" s="9" t="s">
        <v>49</v>
      </c>
      <c r="J371" s="9" t="s">
        <v>48</v>
      </c>
      <c r="K371" s="9" t="s">
        <v>381</v>
      </c>
      <c r="L371" s="9" t="s">
        <v>382</v>
      </c>
      <c r="M371" s="9"/>
      <c r="N371" s="9" t="s">
        <v>383</v>
      </c>
      <c r="O371" s="9" t="s">
        <v>1502</v>
      </c>
    </row>
    <row r="372" spans="1:15">
      <c r="A372" s="9" t="s">
        <v>6</v>
      </c>
      <c r="B372" s="9" t="s">
        <v>473</v>
      </c>
      <c r="C372" s="9" t="s">
        <v>385</v>
      </c>
      <c r="D372" s="9" t="s">
        <v>386</v>
      </c>
      <c r="E372" s="9" t="s">
        <v>1503</v>
      </c>
      <c r="F372" s="9" t="s">
        <v>83</v>
      </c>
      <c r="G372" s="9" t="s">
        <v>16</v>
      </c>
      <c r="H372" s="9" t="s">
        <v>49</v>
      </c>
      <c r="I372" s="9" t="s">
        <v>49</v>
      </c>
      <c r="J372" s="9" t="s">
        <v>48</v>
      </c>
      <c r="K372" s="9" t="s">
        <v>50</v>
      </c>
      <c r="L372" s="9" t="s">
        <v>385</v>
      </c>
      <c r="M372" s="9"/>
      <c r="N372" s="9"/>
      <c r="O372" s="9" t="s">
        <v>1504</v>
      </c>
    </row>
    <row r="373" spans="1:15">
      <c r="A373" s="9" t="s">
        <v>6</v>
      </c>
      <c r="B373" s="9" t="s">
        <v>473</v>
      </c>
      <c r="C373" s="9" t="s">
        <v>534</v>
      </c>
      <c r="D373" s="9" t="s">
        <v>390</v>
      </c>
      <c r="E373" s="9" t="s">
        <v>1505</v>
      </c>
      <c r="F373" s="9" t="s">
        <v>47</v>
      </c>
      <c r="G373" s="9" t="s">
        <v>12</v>
      </c>
      <c r="H373" s="9" t="s">
        <v>49</v>
      </c>
      <c r="I373" s="9" t="s">
        <v>49</v>
      </c>
      <c r="J373" s="9" t="s">
        <v>48</v>
      </c>
      <c r="K373" s="9" t="s">
        <v>50</v>
      </c>
      <c r="L373" s="9" t="s">
        <v>363</v>
      </c>
      <c r="M373" s="9"/>
      <c r="N373" s="9" t="s">
        <v>536</v>
      </c>
      <c r="O373" s="9" t="s">
        <v>1506</v>
      </c>
    </row>
    <row r="374" spans="1:15">
      <c r="A374" s="9" t="s">
        <v>6</v>
      </c>
      <c r="B374" s="9" t="s">
        <v>473</v>
      </c>
      <c r="C374" s="9" t="s">
        <v>394</v>
      </c>
      <c r="D374" s="9" t="s">
        <v>395</v>
      </c>
      <c r="E374" s="9" t="s">
        <v>1507</v>
      </c>
      <c r="F374" s="9" t="s">
        <v>47</v>
      </c>
      <c r="G374" s="9" t="s">
        <v>10</v>
      </c>
      <c r="H374" s="9" t="s">
        <v>48</v>
      </c>
      <c r="I374" s="9" t="s">
        <v>49</v>
      </c>
      <c r="J374" s="9" t="s">
        <v>48</v>
      </c>
      <c r="K374" s="9" t="s">
        <v>381</v>
      </c>
      <c r="L374" s="9" t="s">
        <v>394</v>
      </c>
      <c r="M374" s="9"/>
      <c r="N374" s="9"/>
      <c r="O374" s="9" t="s">
        <v>1508</v>
      </c>
    </row>
    <row r="375" spans="1:15">
      <c r="A375" s="9" t="s">
        <v>6</v>
      </c>
      <c r="B375" s="9" t="s">
        <v>473</v>
      </c>
      <c r="C375" s="9" t="s">
        <v>540</v>
      </c>
      <c r="D375" s="9" t="s">
        <v>399</v>
      </c>
      <c r="E375" s="9" t="s">
        <v>1509</v>
      </c>
      <c r="F375" s="9" t="s">
        <v>47</v>
      </c>
      <c r="G375" s="9" t="s">
        <v>10</v>
      </c>
      <c r="H375" s="9" t="s">
        <v>48</v>
      </c>
      <c r="I375" s="9" t="s">
        <v>49</v>
      </c>
      <c r="J375" s="9" t="s">
        <v>48</v>
      </c>
      <c r="K375" s="9" t="s">
        <v>381</v>
      </c>
      <c r="L375" s="9" t="s">
        <v>401</v>
      </c>
      <c r="M375" s="9"/>
      <c r="N375" s="9" t="s">
        <v>542</v>
      </c>
      <c r="O375" s="9" t="s">
        <v>1510</v>
      </c>
    </row>
    <row r="376" spans="1:15">
      <c r="A376" s="9" t="s">
        <v>6</v>
      </c>
      <c r="B376" s="9" t="s">
        <v>473</v>
      </c>
      <c r="C376" s="9" t="s">
        <v>544</v>
      </c>
      <c r="D376" s="9" t="s">
        <v>405</v>
      </c>
      <c r="E376" s="9" t="s">
        <v>1511</v>
      </c>
      <c r="F376" s="9" t="s">
        <v>83</v>
      </c>
      <c r="G376" s="9" t="s">
        <v>16</v>
      </c>
      <c r="H376" s="9" t="s">
        <v>49</v>
      </c>
      <c r="I376" s="9" t="s">
        <v>49</v>
      </c>
      <c r="J376" s="9" t="s">
        <v>48</v>
      </c>
      <c r="K376" s="9" t="s">
        <v>50</v>
      </c>
      <c r="L376" s="9" t="s">
        <v>544</v>
      </c>
      <c r="M376" s="9"/>
      <c r="N376" s="9"/>
      <c r="O376" s="9" t="s">
        <v>1512</v>
      </c>
    </row>
    <row r="377" spans="1:15">
      <c r="A377" s="9" t="s">
        <v>6</v>
      </c>
      <c r="B377" s="9" t="s">
        <v>473</v>
      </c>
      <c r="C377" s="9" t="s">
        <v>547</v>
      </c>
      <c r="D377" s="9" t="s">
        <v>410</v>
      </c>
      <c r="E377" s="9" t="s">
        <v>1513</v>
      </c>
      <c r="F377" s="9" t="s">
        <v>47</v>
      </c>
      <c r="G377" s="9" t="s">
        <v>12</v>
      </c>
      <c r="H377" s="9" t="s">
        <v>49</v>
      </c>
      <c r="I377" s="9" t="s">
        <v>49</v>
      </c>
      <c r="J377" s="9" t="s">
        <v>48</v>
      </c>
      <c r="K377" s="9" t="s">
        <v>50</v>
      </c>
      <c r="L377" s="9" t="s">
        <v>549</v>
      </c>
      <c r="M377" s="9"/>
      <c r="N377" s="9" t="s">
        <v>495</v>
      </c>
      <c r="O377" s="9" t="s">
        <v>1514</v>
      </c>
    </row>
    <row r="378" spans="1:15">
      <c r="A378" s="9" t="s">
        <v>6</v>
      </c>
      <c r="B378" s="9" t="s">
        <v>473</v>
      </c>
      <c r="C378" s="9" t="s">
        <v>415</v>
      </c>
      <c r="D378" s="9" t="s">
        <v>416</v>
      </c>
      <c r="E378" s="9" t="s">
        <v>1515</v>
      </c>
      <c r="F378" s="9" t="s">
        <v>47</v>
      </c>
      <c r="G378" s="9" t="s">
        <v>12</v>
      </c>
      <c r="H378" s="9" t="s">
        <v>49</v>
      </c>
      <c r="I378" s="9" t="s">
        <v>49</v>
      </c>
      <c r="J378" s="9" t="s">
        <v>48</v>
      </c>
      <c r="K378" s="9" t="s">
        <v>418</v>
      </c>
      <c r="L378" s="9" t="s">
        <v>415</v>
      </c>
      <c r="M378" s="9"/>
      <c r="N378" s="9"/>
      <c r="O378" s="9" t="s">
        <v>1516</v>
      </c>
    </row>
    <row r="379" spans="1:15">
      <c r="A379" s="9" t="s">
        <v>6</v>
      </c>
      <c r="B379" s="9" t="s">
        <v>473</v>
      </c>
      <c r="C379" s="9" t="s">
        <v>68</v>
      </c>
      <c r="D379" s="9" t="s">
        <v>68</v>
      </c>
      <c r="E379" s="9" t="s">
        <v>1517</v>
      </c>
      <c r="F379" s="9" t="s">
        <v>47</v>
      </c>
      <c r="G379" s="9" t="s">
        <v>12</v>
      </c>
      <c r="H379" s="9" t="s">
        <v>49</v>
      </c>
      <c r="I379" s="9" t="s">
        <v>49</v>
      </c>
      <c r="J379" s="9" t="s">
        <v>48</v>
      </c>
      <c r="K379" s="9" t="s">
        <v>554</v>
      </c>
      <c r="L379" s="9" t="s">
        <v>555</v>
      </c>
      <c r="M379" s="9" t="s">
        <v>422</v>
      </c>
      <c r="N379" s="9"/>
      <c r="O379" s="9" t="s">
        <v>1518</v>
      </c>
    </row>
    <row r="380" spans="1:15">
      <c r="A380" s="9" t="s">
        <v>6</v>
      </c>
      <c r="B380" s="9" t="s">
        <v>473</v>
      </c>
      <c r="C380" s="9" t="s">
        <v>424</v>
      </c>
      <c r="D380" s="9" t="s">
        <v>425</v>
      </c>
      <c r="E380" s="9" t="s">
        <v>1519</v>
      </c>
      <c r="F380" s="9" t="s">
        <v>47</v>
      </c>
      <c r="G380" s="9" t="s">
        <v>10</v>
      </c>
      <c r="H380" s="9" t="s">
        <v>48</v>
      </c>
      <c r="I380" s="9" t="s">
        <v>49</v>
      </c>
      <c r="J380" s="9" t="s">
        <v>48</v>
      </c>
      <c r="K380" s="9" t="s">
        <v>50</v>
      </c>
      <c r="L380" s="9" t="s">
        <v>424</v>
      </c>
      <c r="M380" s="9"/>
      <c r="N380" s="9"/>
      <c r="O380" s="9" t="s">
        <v>1520</v>
      </c>
    </row>
    <row r="381" spans="1:15">
      <c r="A381" s="9" t="s">
        <v>6</v>
      </c>
      <c r="B381" s="9" t="s">
        <v>473</v>
      </c>
      <c r="C381" s="9" t="s">
        <v>559</v>
      </c>
      <c r="D381" s="9" t="s">
        <v>429</v>
      </c>
      <c r="E381" s="9" t="s">
        <v>1521</v>
      </c>
      <c r="F381" s="9" t="s">
        <v>47</v>
      </c>
      <c r="G381" s="9" t="s">
        <v>10</v>
      </c>
      <c r="H381" s="9" t="s">
        <v>48</v>
      </c>
      <c r="I381" s="9" t="s">
        <v>49</v>
      </c>
      <c r="J381" s="9" t="s">
        <v>48</v>
      </c>
      <c r="K381" s="9" t="s">
        <v>50</v>
      </c>
      <c r="L381" s="9" t="s">
        <v>561</v>
      </c>
      <c r="M381" s="9"/>
      <c r="N381" s="9" t="s">
        <v>562</v>
      </c>
      <c r="O381" s="9" t="s">
        <v>1522</v>
      </c>
    </row>
    <row r="382" spans="1:15">
      <c r="A382" s="9" t="s">
        <v>6</v>
      </c>
      <c r="B382" s="9" t="s">
        <v>473</v>
      </c>
      <c r="C382" s="9" t="s">
        <v>564</v>
      </c>
      <c r="D382" s="9" t="s">
        <v>410</v>
      </c>
      <c r="E382" s="9" t="s">
        <v>1523</v>
      </c>
      <c r="F382" s="9" t="s">
        <v>83</v>
      </c>
      <c r="G382" s="9" t="s">
        <v>16</v>
      </c>
      <c r="H382" s="9" t="s">
        <v>49</v>
      </c>
      <c r="I382" s="9" t="s">
        <v>49</v>
      </c>
      <c r="J382" s="9" t="s">
        <v>48</v>
      </c>
      <c r="K382" s="9" t="s">
        <v>50</v>
      </c>
      <c r="L382" s="9" t="s">
        <v>566</v>
      </c>
      <c r="M382" s="9"/>
      <c r="N382" s="9" t="s">
        <v>567</v>
      </c>
      <c r="O382" s="9" t="s">
        <v>1524</v>
      </c>
    </row>
    <row r="383" spans="1:15">
      <c r="A383" s="9" t="s">
        <v>6</v>
      </c>
      <c r="B383" s="9" t="s">
        <v>473</v>
      </c>
      <c r="C383" s="9" t="s">
        <v>569</v>
      </c>
      <c r="D383" s="9" t="s">
        <v>241</v>
      </c>
      <c r="E383" s="9" t="s">
        <v>1525</v>
      </c>
      <c r="F383" s="9" t="s">
        <v>243</v>
      </c>
      <c r="G383" s="9" t="s">
        <v>16</v>
      </c>
      <c r="H383" s="9" t="s">
        <v>49</v>
      </c>
      <c r="I383" s="9" t="s">
        <v>49</v>
      </c>
      <c r="J383" s="9" t="s">
        <v>48</v>
      </c>
      <c r="K383" s="9" t="s">
        <v>244</v>
      </c>
      <c r="L383" s="9" t="s">
        <v>571</v>
      </c>
      <c r="M383" s="9"/>
      <c r="N383" s="9" t="s">
        <v>572</v>
      </c>
      <c r="O383" s="9" t="s">
        <v>1526</v>
      </c>
    </row>
    <row r="384" spans="1:15">
      <c r="A384" s="9" t="s">
        <v>6</v>
      </c>
      <c r="B384" s="9" t="s">
        <v>473</v>
      </c>
      <c r="C384" s="9" t="s">
        <v>574</v>
      </c>
      <c r="D384" s="9" t="s">
        <v>451</v>
      </c>
      <c r="E384" s="9" t="s">
        <v>1527</v>
      </c>
      <c r="F384" s="9" t="s">
        <v>83</v>
      </c>
      <c r="G384" s="9" t="s">
        <v>16</v>
      </c>
      <c r="H384" s="9" t="s">
        <v>49</v>
      </c>
      <c r="I384" s="9" t="s">
        <v>49</v>
      </c>
      <c r="J384" s="9" t="s">
        <v>48</v>
      </c>
      <c r="K384" s="9" t="s">
        <v>50</v>
      </c>
      <c r="L384" s="9" t="s">
        <v>576</v>
      </c>
      <c r="M384" s="9"/>
      <c r="N384" s="9"/>
      <c r="O384" s="9" t="s">
        <v>1528</v>
      </c>
    </row>
    <row r="385" spans="1:15">
      <c r="A385" s="9" t="s">
        <v>6</v>
      </c>
      <c r="B385" s="9" t="s">
        <v>473</v>
      </c>
      <c r="C385" s="9" t="s">
        <v>578</v>
      </c>
      <c r="D385" s="9" t="s">
        <v>344</v>
      </c>
      <c r="E385" s="9" t="s">
        <v>1529</v>
      </c>
      <c r="F385" s="9" t="s">
        <v>83</v>
      </c>
      <c r="G385" s="9" t="s">
        <v>16</v>
      </c>
      <c r="H385" s="9" t="s">
        <v>49</v>
      </c>
      <c r="I385" s="9" t="s">
        <v>49</v>
      </c>
      <c r="J385" s="9" t="s">
        <v>48</v>
      </c>
      <c r="K385" s="9" t="s">
        <v>50</v>
      </c>
      <c r="L385" s="9" t="s">
        <v>457</v>
      </c>
      <c r="M385" s="9"/>
      <c r="N385" s="9" t="s">
        <v>580</v>
      </c>
      <c r="O385" s="9" t="s">
        <v>1530</v>
      </c>
    </row>
    <row r="386" spans="1:15">
      <c r="A386" s="9" t="s">
        <v>6</v>
      </c>
      <c r="B386" s="9" t="s">
        <v>473</v>
      </c>
      <c r="C386" s="9" t="s">
        <v>582</v>
      </c>
      <c r="D386" s="9" t="s">
        <v>461</v>
      </c>
      <c r="E386" s="9" t="s">
        <v>1531</v>
      </c>
      <c r="F386" s="9" t="s">
        <v>83</v>
      </c>
      <c r="G386" s="9" t="s">
        <v>16</v>
      </c>
      <c r="H386" s="9" t="s">
        <v>49</v>
      </c>
      <c r="I386" s="9" t="s">
        <v>49</v>
      </c>
      <c r="J386" s="9" t="s">
        <v>48</v>
      </c>
      <c r="K386" s="9" t="s">
        <v>50</v>
      </c>
      <c r="L386" s="9" t="s">
        <v>463</v>
      </c>
      <c r="M386" s="9"/>
      <c r="N386" s="9" t="s">
        <v>584</v>
      </c>
      <c r="O386" s="9" t="s">
        <v>1532</v>
      </c>
    </row>
    <row r="387" spans="1:15">
      <c r="A387" s="9" t="s">
        <v>6</v>
      </c>
      <c r="B387" s="9" t="s">
        <v>473</v>
      </c>
      <c r="C387" s="9" t="s">
        <v>586</v>
      </c>
      <c r="D387" s="9" t="s">
        <v>467</v>
      </c>
      <c r="E387" s="9" t="s">
        <v>1533</v>
      </c>
      <c r="F387" s="9" t="s">
        <v>83</v>
      </c>
      <c r="G387" s="9" t="s">
        <v>16</v>
      </c>
      <c r="H387" s="9" t="s">
        <v>49</v>
      </c>
      <c r="I387" s="9" t="s">
        <v>49</v>
      </c>
      <c r="J387" s="9" t="s">
        <v>48</v>
      </c>
      <c r="K387" s="9" t="s">
        <v>469</v>
      </c>
      <c r="L387" s="9" t="s">
        <v>470</v>
      </c>
      <c r="M387" s="9"/>
      <c r="N387" s="9" t="s">
        <v>588</v>
      </c>
      <c r="O387" s="9" t="s">
        <v>1534</v>
      </c>
    </row>
    <row r="388" spans="1:15">
      <c r="A388" s="9" t="s">
        <v>6</v>
      </c>
      <c r="B388" s="9" t="s">
        <v>590</v>
      </c>
      <c r="C388" s="9" t="s">
        <v>591</v>
      </c>
      <c r="D388" s="9" t="s">
        <v>592</v>
      </c>
      <c r="E388" s="9" t="s">
        <v>1535</v>
      </c>
      <c r="F388" s="9" t="s">
        <v>83</v>
      </c>
      <c r="G388" s="9" t="s">
        <v>14</v>
      </c>
      <c r="H388" s="9" t="s">
        <v>49</v>
      </c>
      <c r="I388" s="9" t="s">
        <v>49</v>
      </c>
      <c r="J388" s="9" t="s">
        <v>48</v>
      </c>
      <c r="K388" s="9" t="s">
        <v>128</v>
      </c>
      <c r="L388" s="9" t="s">
        <v>594</v>
      </c>
      <c r="M388" s="9"/>
      <c r="N388" s="9"/>
      <c r="O388" s="9" t="s">
        <v>1536</v>
      </c>
    </row>
    <row r="389" spans="1:15">
      <c r="A389" s="9" t="s">
        <v>6</v>
      </c>
      <c r="B389" s="9" t="s">
        <v>590</v>
      </c>
      <c r="C389" s="9" t="s">
        <v>325</v>
      </c>
      <c r="D389" s="9" t="s">
        <v>326</v>
      </c>
      <c r="E389" s="9" t="s">
        <v>1537</v>
      </c>
      <c r="F389" s="9" t="s">
        <v>83</v>
      </c>
      <c r="G389" s="9" t="s">
        <v>16</v>
      </c>
      <c r="H389" s="9" t="s">
        <v>49</v>
      </c>
      <c r="I389" s="9" t="s">
        <v>49</v>
      </c>
      <c r="J389" s="9" t="s">
        <v>48</v>
      </c>
      <c r="K389" s="9" t="s">
        <v>244</v>
      </c>
      <c r="L389" s="9" t="s">
        <v>325</v>
      </c>
      <c r="M389" s="9"/>
      <c r="N389" s="9"/>
      <c r="O389" s="9" t="s">
        <v>1538</v>
      </c>
    </row>
    <row r="390" spans="1:15">
      <c r="A390" s="9" t="s">
        <v>6</v>
      </c>
      <c r="B390" s="9" t="s">
        <v>590</v>
      </c>
      <c r="C390" s="9" t="s">
        <v>598</v>
      </c>
      <c r="D390" s="9" t="s">
        <v>68</v>
      </c>
      <c r="E390" s="9" t="s">
        <v>1539</v>
      </c>
      <c r="F390" s="9" t="s">
        <v>47</v>
      </c>
      <c r="G390" s="9" t="s">
        <v>12</v>
      </c>
      <c r="H390" s="9" t="s">
        <v>49</v>
      </c>
      <c r="I390" s="9" t="s">
        <v>49</v>
      </c>
      <c r="J390" s="9" t="s">
        <v>48</v>
      </c>
      <c r="K390" s="9" t="s">
        <v>50</v>
      </c>
      <c r="L390" s="9" t="s">
        <v>600</v>
      </c>
      <c r="M390" s="9"/>
      <c r="N390" s="9" t="s">
        <v>601</v>
      </c>
      <c r="O390" s="9" t="s">
        <v>1540</v>
      </c>
    </row>
    <row r="391" spans="1:15">
      <c r="A391" s="9" t="s">
        <v>6</v>
      </c>
      <c r="B391" s="9" t="s">
        <v>590</v>
      </c>
      <c r="C391" s="9" t="s">
        <v>603</v>
      </c>
      <c r="D391" s="9" t="s">
        <v>241</v>
      </c>
      <c r="E391" s="9" t="s">
        <v>1541</v>
      </c>
      <c r="F391" s="9" t="s">
        <v>243</v>
      </c>
      <c r="G391" s="9" t="s">
        <v>16</v>
      </c>
      <c r="H391" s="9" t="s">
        <v>49</v>
      </c>
      <c r="I391" s="9" t="s">
        <v>49</v>
      </c>
      <c r="J391" s="9" t="s">
        <v>48</v>
      </c>
      <c r="K391" s="9" t="s">
        <v>336</v>
      </c>
      <c r="L391" s="9" t="s">
        <v>605</v>
      </c>
      <c r="M391" s="9"/>
      <c r="N391" s="9" t="s">
        <v>606</v>
      </c>
      <c r="O391" s="9" t="s">
        <v>1542</v>
      </c>
    </row>
    <row r="392" spans="1:15">
      <c r="A392" s="9" t="s">
        <v>6</v>
      </c>
      <c r="B392" s="9" t="s">
        <v>590</v>
      </c>
      <c r="C392" s="9" t="s">
        <v>339</v>
      </c>
      <c r="D392" s="9" t="s">
        <v>340</v>
      </c>
      <c r="E392" s="9" t="s">
        <v>1543</v>
      </c>
      <c r="F392" s="9" t="s">
        <v>47</v>
      </c>
      <c r="G392" s="9" t="s">
        <v>12</v>
      </c>
      <c r="H392" s="9" t="s">
        <v>49</v>
      </c>
      <c r="I392" s="9" t="s">
        <v>49</v>
      </c>
      <c r="J392" s="9" t="s">
        <v>48</v>
      </c>
      <c r="K392" s="9" t="s">
        <v>50</v>
      </c>
      <c r="L392" s="9" t="s">
        <v>339</v>
      </c>
      <c r="M392" s="9"/>
      <c r="N392" s="9"/>
      <c r="O392" s="9" t="s">
        <v>1544</v>
      </c>
    </row>
    <row r="393" spans="1:15">
      <c r="A393" s="9" t="s">
        <v>6</v>
      </c>
      <c r="B393" s="9" t="s">
        <v>590</v>
      </c>
      <c r="C393" s="9" t="s">
        <v>610</v>
      </c>
      <c r="D393" s="9" t="s">
        <v>344</v>
      </c>
      <c r="E393" s="9" t="s">
        <v>1545</v>
      </c>
      <c r="F393" s="9" t="s">
        <v>47</v>
      </c>
      <c r="G393" s="9" t="s">
        <v>12</v>
      </c>
      <c r="H393" s="9" t="s">
        <v>49</v>
      </c>
      <c r="I393" s="9" t="s">
        <v>49</v>
      </c>
      <c r="J393" s="9" t="s">
        <v>48</v>
      </c>
      <c r="K393" s="9" t="s">
        <v>50</v>
      </c>
      <c r="L393" s="9" t="s">
        <v>612</v>
      </c>
      <c r="M393" s="9"/>
      <c r="N393" s="9" t="s">
        <v>613</v>
      </c>
      <c r="O393" s="9" t="s">
        <v>1546</v>
      </c>
    </row>
    <row r="394" spans="1:15">
      <c r="A394" s="9" t="s">
        <v>6</v>
      </c>
      <c r="B394" s="9" t="s">
        <v>590</v>
      </c>
      <c r="C394" s="9" t="s">
        <v>424</v>
      </c>
      <c r="D394" s="9" t="s">
        <v>425</v>
      </c>
      <c r="E394" s="9" t="s">
        <v>1547</v>
      </c>
      <c r="F394" s="9" t="s">
        <v>83</v>
      </c>
      <c r="G394" s="9" t="s">
        <v>16</v>
      </c>
      <c r="H394" s="9" t="s">
        <v>49</v>
      </c>
      <c r="I394" s="9" t="s">
        <v>49</v>
      </c>
      <c r="J394" s="9" t="s">
        <v>48</v>
      </c>
      <c r="K394" s="9" t="s">
        <v>50</v>
      </c>
      <c r="L394" s="9" t="s">
        <v>424</v>
      </c>
      <c r="M394" s="9"/>
      <c r="N394" s="9"/>
      <c r="O394" s="9" t="s">
        <v>1548</v>
      </c>
    </row>
    <row r="395" spans="1:15">
      <c r="A395" s="9" t="s">
        <v>6</v>
      </c>
      <c r="B395" s="9" t="s">
        <v>590</v>
      </c>
      <c r="C395" s="9" t="s">
        <v>617</v>
      </c>
      <c r="D395" s="9" t="s">
        <v>410</v>
      </c>
      <c r="E395" s="9" t="s">
        <v>1549</v>
      </c>
      <c r="F395" s="9" t="s">
        <v>47</v>
      </c>
      <c r="G395" s="9" t="s">
        <v>12</v>
      </c>
      <c r="H395" s="9" t="s">
        <v>49</v>
      </c>
      <c r="I395" s="9" t="s">
        <v>49</v>
      </c>
      <c r="J395" s="9" t="s">
        <v>48</v>
      </c>
      <c r="K395" s="9" t="s">
        <v>50</v>
      </c>
      <c r="L395" s="9" t="s">
        <v>619</v>
      </c>
      <c r="M395" s="9"/>
      <c r="N395" s="9" t="s">
        <v>601</v>
      </c>
      <c r="O395" s="9" t="s">
        <v>1550</v>
      </c>
    </row>
    <row r="396" spans="1:15">
      <c r="A396" s="9" t="s">
        <v>6</v>
      </c>
      <c r="B396" s="9" t="s">
        <v>590</v>
      </c>
      <c r="C396" s="9" t="s">
        <v>621</v>
      </c>
      <c r="D396" s="9" t="s">
        <v>241</v>
      </c>
      <c r="E396" s="9" t="s">
        <v>1551</v>
      </c>
      <c r="F396" s="9" t="s">
        <v>243</v>
      </c>
      <c r="G396" s="9" t="s">
        <v>16</v>
      </c>
      <c r="H396" s="9" t="s">
        <v>49</v>
      </c>
      <c r="I396" s="9" t="s">
        <v>49</v>
      </c>
      <c r="J396" s="9" t="s">
        <v>48</v>
      </c>
      <c r="K396" s="9" t="s">
        <v>244</v>
      </c>
      <c r="L396" s="9" t="s">
        <v>623</v>
      </c>
      <c r="M396" s="9"/>
      <c r="N396" s="9" t="s">
        <v>442</v>
      </c>
      <c r="O396" s="9" t="s">
        <v>1552</v>
      </c>
    </row>
    <row r="397" spans="1:15">
      <c r="A397" s="9" t="s">
        <v>6</v>
      </c>
      <c r="B397" s="9" t="s">
        <v>625</v>
      </c>
      <c r="C397" s="9" t="s">
        <v>626</v>
      </c>
      <c r="D397" s="9" t="s">
        <v>627</v>
      </c>
      <c r="E397" s="9" t="s">
        <v>1553</v>
      </c>
      <c r="F397" s="9" t="s">
        <v>83</v>
      </c>
      <c r="G397" s="9" t="s">
        <v>16</v>
      </c>
      <c r="H397" s="9" t="s">
        <v>49</v>
      </c>
      <c r="I397" s="9" t="s">
        <v>49</v>
      </c>
      <c r="J397" s="9" t="s">
        <v>48</v>
      </c>
      <c r="K397" s="9" t="s">
        <v>50</v>
      </c>
      <c r="L397" s="9" t="s">
        <v>629</v>
      </c>
      <c r="M397" s="9"/>
      <c r="N397" s="9"/>
      <c r="O397" s="9" t="s">
        <v>1554</v>
      </c>
    </row>
    <row r="398" spans="1:15">
      <c r="A398" s="9" t="s">
        <v>6</v>
      </c>
      <c r="B398" s="9" t="s">
        <v>625</v>
      </c>
      <c r="C398" s="9" t="s">
        <v>339</v>
      </c>
      <c r="D398" s="9" t="s">
        <v>340</v>
      </c>
      <c r="E398" s="9" t="s">
        <v>1555</v>
      </c>
      <c r="F398" s="9" t="s">
        <v>47</v>
      </c>
      <c r="G398" s="9" t="s">
        <v>12</v>
      </c>
      <c r="H398" s="9" t="s">
        <v>49</v>
      </c>
      <c r="I398" s="9" t="s">
        <v>49</v>
      </c>
      <c r="J398" s="9" t="s">
        <v>48</v>
      </c>
      <c r="K398" s="9" t="s">
        <v>50</v>
      </c>
      <c r="L398" s="9" t="s">
        <v>339</v>
      </c>
      <c r="M398" s="9"/>
      <c r="N398" s="9"/>
      <c r="O398" s="9" t="s">
        <v>1556</v>
      </c>
    </row>
    <row r="399" spans="1:15">
      <c r="A399" s="9" t="s">
        <v>6</v>
      </c>
      <c r="B399" s="9" t="s">
        <v>625</v>
      </c>
      <c r="C399" s="9" t="s">
        <v>633</v>
      </c>
      <c r="D399" s="9" t="s">
        <v>344</v>
      </c>
      <c r="E399" s="9" t="s">
        <v>1557</v>
      </c>
      <c r="F399" s="9" t="s">
        <v>47</v>
      </c>
      <c r="G399" s="9" t="s">
        <v>12</v>
      </c>
      <c r="H399" s="9" t="s">
        <v>49</v>
      </c>
      <c r="I399" s="9" t="s">
        <v>49</v>
      </c>
      <c r="J399" s="9" t="s">
        <v>48</v>
      </c>
      <c r="K399" s="9" t="s">
        <v>50</v>
      </c>
      <c r="L399" s="9" t="s">
        <v>635</v>
      </c>
      <c r="M399" s="9"/>
      <c r="N399" s="9" t="s">
        <v>636</v>
      </c>
      <c r="O399" s="9" t="s">
        <v>1558</v>
      </c>
    </row>
    <row r="400" spans="1:15">
      <c r="A400" s="9" t="s">
        <v>6</v>
      </c>
      <c r="B400" s="9" t="s">
        <v>625</v>
      </c>
      <c r="C400" s="9" t="s">
        <v>638</v>
      </c>
      <c r="D400" s="9" t="s">
        <v>350</v>
      </c>
      <c r="E400" s="9" t="s">
        <v>1559</v>
      </c>
      <c r="F400" s="9" t="s">
        <v>47</v>
      </c>
      <c r="G400" s="9" t="s">
        <v>12</v>
      </c>
      <c r="H400" s="9" t="s">
        <v>49</v>
      </c>
      <c r="I400" s="9" t="s">
        <v>49</v>
      </c>
      <c r="J400" s="9" t="s">
        <v>48</v>
      </c>
      <c r="K400" s="9" t="s">
        <v>50</v>
      </c>
      <c r="L400" s="9" t="s">
        <v>640</v>
      </c>
      <c r="M400" s="9"/>
      <c r="N400" s="9"/>
      <c r="O400" s="9" t="s">
        <v>1560</v>
      </c>
    </row>
    <row r="401" spans="1:15">
      <c r="A401" s="9" t="s">
        <v>6</v>
      </c>
      <c r="B401" s="9" t="s">
        <v>625</v>
      </c>
      <c r="C401" s="9" t="s">
        <v>642</v>
      </c>
      <c r="D401" s="9" t="s">
        <v>355</v>
      </c>
      <c r="E401" s="9" t="s">
        <v>1561</v>
      </c>
      <c r="F401" s="9" t="s">
        <v>83</v>
      </c>
      <c r="G401" s="9" t="s">
        <v>16</v>
      </c>
      <c r="H401" s="9" t="s">
        <v>49</v>
      </c>
      <c r="I401" s="9" t="s">
        <v>49</v>
      </c>
      <c r="J401" s="9" t="s">
        <v>48</v>
      </c>
      <c r="K401" s="9" t="s">
        <v>50</v>
      </c>
      <c r="L401" s="9" t="s">
        <v>357</v>
      </c>
      <c r="M401" s="9"/>
      <c r="N401" s="9" t="s">
        <v>644</v>
      </c>
      <c r="O401" s="9" t="s">
        <v>1562</v>
      </c>
    </row>
    <row r="402" spans="1:15">
      <c r="A402" s="9" t="s">
        <v>6</v>
      </c>
      <c r="B402" s="9" t="s">
        <v>625</v>
      </c>
      <c r="C402" s="9" t="s">
        <v>646</v>
      </c>
      <c r="D402" s="9" t="s">
        <v>361</v>
      </c>
      <c r="E402" s="9" t="s">
        <v>1563</v>
      </c>
      <c r="F402" s="9" t="s">
        <v>83</v>
      </c>
      <c r="G402" s="9" t="s">
        <v>16</v>
      </c>
      <c r="H402" s="9" t="s">
        <v>49</v>
      </c>
      <c r="I402" s="9" t="s">
        <v>49</v>
      </c>
      <c r="J402" s="9" t="s">
        <v>48</v>
      </c>
      <c r="K402" s="9" t="s">
        <v>50</v>
      </c>
      <c r="L402" s="9" t="s">
        <v>363</v>
      </c>
      <c r="M402" s="9"/>
      <c r="N402" s="9" t="s">
        <v>648</v>
      </c>
      <c r="O402" s="9" t="s">
        <v>1564</v>
      </c>
    </row>
    <row r="403" spans="1:15">
      <c r="A403" s="9" t="s">
        <v>6</v>
      </c>
      <c r="B403" s="9" t="s">
        <v>625</v>
      </c>
      <c r="C403" s="9" t="s">
        <v>650</v>
      </c>
      <c r="D403" s="9" t="s">
        <v>367</v>
      </c>
      <c r="E403" s="9" t="s">
        <v>1565</v>
      </c>
      <c r="F403" s="9" t="s">
        <v>83</v>
      </c>
      <c r="G403" s="9" t="s">
        <v>16</v>
      </c>
      <c r="H403" s="9" t="s">
        <v>49</v>
      </c>
      <c r="I403" s="9" t="s">
        <v>49</v>
      </c>
      <c r="J403" s="9" t="s">
        <v>48</v>
      </c>
      <c r="K403" s="9" t="s">
        <v>50</v>
      </c>
      <c r="L403" s="9" t="s">
        <v>652</v>
      </c>
      <c r="M403" s="9"/>
      <c r="N403" s="9" t="s">
        <v>653</v>
      </c>
      <c r="O403" s="9" t="s">
        <v>1566</v>
      </c>
    </row>
    <row r="404" spans="1:15">
      <c r="A404" s="9" t="s">
        <v>6</v>
      </c>
      <c r="B404" s="9" t="s">
        <v>625</v>
      </c>
      <c r="C404" s="9" t="s">
        <v>655</v>
      </c>
      <c r="D404" s="9" t="s">
        <v>373</v>
      </c>
      <c r="E404" s="9" t="s">
        <v>1567</v>
      </c>
      <c r="F404" s="9" t="s">
        <v>83</v>
      </c>
      <c r="G404" s="9" t="s">
        <v>16</v>
      </c>
      <c r="H404" s="9" t="s">
        <v>49</v>
      </c>
      <c r="I404" s="9" t="s">
        <v>49</v>
      </c>
      <c r="J404" s="9" t="s">
        <v>48</v>
      </c>
      <c r="K404" s="9" t="s">
        <v>50</v>
      </c>
      <c r="L404" s="9" t="s">
        <v>375</v>
      </c>
      <c r="M404" s="9"/>
      <c r="N404" s="9" t="s">
        <v>657</v>
      </c>
      <c r="O404" s="9" t="s">
        <v>1568</v>
      </c>
    </row>
    <row r="405" spans="1:15">
      <c r="A405" s="9" t="s">
        <v>6</v>
      </c>
      <c r="B405" s="9" t="s">
        <v>625</v>
      </c>
      <c r="C405" s="9" t="s">
        <v>659</v>
      </c>
      <c r="D405" s="9" t="s">
        <v>379</v>
      </c>
      <c r="E405" s="9" t="s">
        <v>1569</v>
      </c>
      <c r="F405" s="9" t="s">
        <v>83</v>
      </c>
      <c r="G405" s="9" t="s">
        <v>16</v>
      </c>
      <c r="H405" s="9" t="s">
        <v>49</v>
      </c>
      <c r="I405" s="9" t="s">
        <v>49</v>
      </c>
      <c r="J405" s="9" t="s">
        <v>48</v>
      </c>
      <c r="K405" s="9" t="s">
        <v>381</v>
      </c>
      <c r="L405" s="9" t="s">
        <v>382</v>
      </c>
      <c r="M405" s="9"/>
      <c r="N405" s="9" t="s">
        <v>661</v>
      </c>
      <c r="O405" s="9" t="s">
        <v>1570</v>
      </c>
    </row>
    <row r="406" spans="1:15">
      <c r="A406" s="9" t="s">
        <v>6</v>
      </c>
      <c r="B406" s="9" t="s">
        <v>625</v>
      </c>
      <c r="C406" s="9" t="s">
        <v>385</v>
      </c>
      <c r="D406" s="9" t="s">
        <v>386</v>
      </c>
      <c r="E406" s="9" t="s">
        <v>1571</v>
      </c>
      <c r="F406" s="9" t="s">
        <v>83</v>
      </c>
      <c r="G406" s="9" t="s">
        <v>16</v>
      </c>
      <c r="H406" s="9" t="s">
        <v>49</v>
      </c>
      <c r="I406" s="9" t="s">
        <v>49</v>
      </c>
      <c r="J406" s="9" t="s">
        <v>48</v>
      </c>
      <c r="K406" s="9" t="s">
        <v>50</v>
      </c>
      <c r="L406" s="9" t="s">
        <v>385</v>
      </c>
      <c r="M406" s="9"/>
      <c r="N406" s="9"/>
      <c r="O406" s="9" t="s">
        <v>1572</v>
      </c>
    </row>
    <row r="407" spans="1:15">
      <c r="A407" s="9" t="s">
        <v>6</v>
      </c>
      <c r="B407" s="9" t="s">
        <v>625</v>
      </c>
      <c r="C407" s="9" t="s">
        <v>665</v>
      </c>
      <c r="D407" s="9" t="s">
        <v>390</v>
      </c>
      <c r="E407" s="9" t="s">
        <v>1573</v>
      </c>
      <c r="F407" s="9" t="s">
        <v>47</v>
      </c>
      <c r="G407" s="9" t="s">
        <v>12</v>
      </c>
      <c r="H407" s="9" t="s">
        <v>49</v>
      </c>
      <c r="I407" s="9" t="s">
        <v>49</v>
      </c>
      <c r="J407" s="9" t="s">
        <v>48</v>
      </c>
      <c r="K407" s="9" t="s">
        <v>50</v>
      </c>
      <c r="L407" s="9" t="s">
        <v>363</v>
      </c>
      <c r="M407" s="9"/>
      <c r="N407" s="9" t="s">
        <v>667</v>
      </c>
      <c r="O407" s="9" t="s">
        <v>1574</v>
      </c>
    </row>
    <row r="408" spans="1:15">
      <c r="A408" s="9" t="s">
        <v>6</v>
      </c>
      <c r="B408" s="9" t="s">
        <v>625</v>
      </c>
      <c r="C408" s="9" t="s">
        <v>394</v>
      </c>
      <c r="D408" s="9" t="s">
        <v>395</v>
      </c>
      <c r="E408" s="9" t="s">
        <v>1575</v>
      </c>
      <c r="F408" s="9" t="s">
        <v>47</v>
      </c>
      <c r="G408" s="9" t="s">
        <v>12</v>
      </c>
      <c r="H408" s="9" t="s">
        <v>49</v>
      </c>
      <c r="I408" s="9" t="s">
        <v>49</v>
      </c>
      <c r="J408" s="9" t="s">
        <v>48</v>
      </c>
      <c r="K408" s="9" t="s">
        <v>381</v>
      </c>
      <c r="L408" s="9" t="s">
        <v>394</v>
      </c>
      <c r="M408" s="9"/>
      <c r="N408" s="9"/>
      <c r="O408" s="9" t="s">
        <v>1576</v>
      </c>
    </row>
    <row r="409" spans="1:15">
      <c r="A409" s="9" t="s">
        <v>6</v>
      </c>
      <c r="B409" s="9" t="s">
        <v>625</v>
      </c>
      <c r="C409" s="9" t="s">
        <v>671</v>
      </c>
      <c r="D409" s="9" t="s">
        <v>399</v>
      </c>
      <c r="E409" s="9" t="s">
        <v>1577</v>
      </c>
      <c r="F409" s="9" t="s">
        <v>47</v>
      </c>
      <c r="G409" s="9" t="s">
        <v>12</v>
      </c>
      <c r="H409" s="9" t="s">
        <v>49</v>
      </c>
      <c r="I409" s="9" t="s">
        <v>49</v>
      </c>
      <c r="J409" s="9" t="s">
        <v>48</v>
      </c>
      <c r="K409" s="9" t="s">
        <v>381</v>
      </c>
      <c r="L409" s="9" t="s">
        <v>401</v>
      </c>
      <c r="M409" s="9"/>
      <c r="N409" s="9" t="s">
        <v>542</v>
      </c>
      <c r="O409" s="9" t="s">
        <v>1578</v>
      </c>
    </row>
    <row r="410" spans="1:15">
      <c r="A410" s="9" t="s">
        <v>6</v>
      </c>
      <c r="B410" s="9" t="s">
        <v>625</v>
      </c>
      <c r="C410" s="9" t="s">
        <v>544</v>
      </c>
      <c r="D410" s="9" t="s">
        <v>405</v>
      </c>
      <c r="E410" s="9" t="s">
        <v>1579</v>
      </c>
      <c r="F410" s="9" t="s">
        <v>47</v>
      </c>
      <c r="G410" s="9" t="s">
        <v>12</v>
      </c>
      <c r="H410" s="9" t="s">
        <v>49</v>
      </c>
      <c r="I410" s="9" t="s">
        <v>49</v>
      </c>
      <c r="J410" s="9" t="s">
        <v>48</v>
      </c>
      <c r="K410" s="9" t="s">
        <v>50</v>
      </c>
      <c r="L410" s="9" t="s">
        <v>544</v>
      </c>
      <c r="M410" s="9"/>
      <c r="N410" s="9"/>
      <c r="O410" s="9" t="s">
        <v>1580</v>
      </c>
    </row>
    <row r="411" spans="1:15">
      <c r="A411" s="9" t="s">
        <v>6</v>
      </c>
      <c r="B411" s="9" t="s">
        <v>625</v>
      </c>
      <c r="C411" s="9" t="s">
        <v>676</v>
      </c>
      <c r="D411" s="9" t="s">
        <v>410</v>
      </c>
      <c r="E411" s="9" t="s">
        <v>1581</v>
      </c>
      <c r="F411" s="9" t="s">
        <v>47</v>
      </c>
      <c r="G411" s="9" t="s">
        <v>12</v>
      </c>
      <c r="H411" s="9" t="s">
        <v>49</v>
      </c>
      <c r="I411" s="9" t="s">
        <v>49</v>
      </c>
      <c r="J411" s="9" t="s">
        <v>48</v>
      </c>
      <c r="K411" s="9" t="s">
        <v>50</v>
      </c>
      <c r="L411" s="9" t="s">
        <v>678</v>
      </c>
      <c r="M411" s="9"/>
      <c r="N411" s="9" t="s">
        <v>601</v>
      </c>
      <c r="O411" s="9" t="s">
        <v>1582</v>
      </c>
    </row>
    <row r="412" spans="1:15">
      <c r="A412" s="9" t="s">
        <v>6</v>
      </c>
      <c r="B412" s="9" t="s">
        <v>625</v>
      </c>
      <c r="C412" s="9" t="s">
        <v>415</v>
      </c>
      <c r="D412" s="9" t="s">
        <v>416</v>
      </c>
      <c r="E412" s="9" t="s">
        <v>1583</v>
      </c>
      <c r="F412" s="9" t="s">
        <v>47</v>
      </c>
      <c r="G412" s="9" t="s">
        <v>12</v>
      </c>
      <c r="H412" s="9" t="s">
        <v>49</v>
      </c>
      <c r="I412" s="9" t="s">
        <v>49</v>
      </c>
      <c r="J412" s="9" t="s">
        <v>48</v>
      </c>
      <c r="K412" s="9" t="s">
        <v>418</v>
      </c>
      <c r="L412" s="9" t="s">
        <v>415</v>
      </c>
      <c r="M412" s="9"/>
      <c r="N412" s="9"/>
      <c r="O412" s="9" t="s">
        <v>1584</v>
      </c>
    </row>
    <row r="413" spans="1:15">
      <c r="A413" s="9" t="s">
        <v>6</v>
      </c>
      <c r="B413" s="9" t="s">
        <v>625</v>
      </c>
      <c r="C413" s="9" t="s">
        <v>68</v>
      </c>
      <c r="D413" s="9" t="s">
        <v>68</v>
      </c>
      <c r="E413" s="9" t="s">
        <v>1585</v>
      </c>
      <c r="F413" s="9" t="s">
        <v>47</v>
      </c>
      <c r="G413" s="9" t="s">
        <v>12</v>
      </c>
      <c r="H413" s="9" t="s">
        <v>49</v>
      </c>
      <c r="I413" s="9" t="s">
        <v>49</v>
      </c>
      <c r="J413" s="9" t="s">
        <v>48</v>
      </c>
      <c r="K413" s="9" t="s">
        <v>554</v>
      </c>
      <c r="L413" s="9" t="s">
        <v>555</v>
      </c>
      <c r="M413" s="9" t="s">
        <v>422</v>
      </c>
      <c r="N413" s="9"/>
      <c r="O413" s="9" t="s">
        <v>1586</v>
      </c>
    </row>
    <row r="414" spans="1:15">
      <c r="A414" s="9" t="s">
        <v>6</v>
      </c>
      <c r="B414" s="9" t="s">
        <v>684</v>
      </c>
      <c r="C414" s="9" t="s">
        <v>685</v>
      </c>
      <c r="D414" s="9" t="s">
        <v>686</v>
      </c>
      <c r="E414" s="9" t="s">
        <v>1587</v>
      </c>
      <c r="F414" s="9" t="s">
        <v>83</v>
      </c>
      <c r="G414" s="9" t="s">
        <v>16</v>
      </c>
      <c r="H414" s="9" t="s">
        <v>49</v>
      </c>
      <c r="I414" s="9" t="s">
        <v>49</v>
      </c>
      <c r="J414" s="9" t="s">
        <v>48</v>
      </c>
      <c r="K414" s="9" t="s">
        <v>50</v>
      </c>
      <c r="L414" s="9" t="s">
        <v>688</v>
      </c>
      <c r="M414" s="9"/>
      <c r="N414" s="9"/>
      <c r="O414" s="9" t="s">
        <v>1588</v>
      </c>
    </row>
    <row r="415" spans="1:15">
      <c r="A415" s="9" t="s">
        <v>6</v>
      </c>
      <c r="B415" s="9" t="s">
        <v>684</v>
      </c>
      <c r="C415" s="9" t="s">
        <v>690</v>
      </c>
      <c r="D415" s="9" t="s">
        <v>691</v>
      </c>
      <c r="E415" s="9" t="s">
        <v>1589</v>
      </c>
      <c r="F415" s="9" t="s">
        <v>83</v>
      </c>
      <c r="G415" s="9" t="s">
        <v>16</v>
      </c>
      <c r="H415" s="9" t="s">
        <v>49</v>
      </c>
      <c r="I415" s="9" t="s">
        <v>49</v>
      </c>
      <c r="J415" s="9" t="s">
        <v>48</v>
      </c>
      <c r="K415" s="9" t="s">
        <v>76</v>
      </c>
      <c r="L415" s="9" t="s">
        <v>693</v>
      </c>
      <c r="M415" s="9"/>
      <c r="N415" s="9" t="s">
        <v>694</v>
      </c>
      <c r="O415" s="9" t="s">
        <v>1590</v>
      </c>
    </row>
    <row r="416" spans="1:15">
      <c r="A416" s="9" t="s">
        <v>6</v>
      </c>
      <c r="B416" s="9" t="s">
        <v>684</v>
      </c>
      <c r="C416" s="9" t="s">
        <v>696</v>
      </c>
      <c r="D416" s="9" t="s">
        <v>696</v>
      </c>
      <c r="E416" s="9" t="s">
        <v>1591</v>
      </c>
      <c r="F416" s="9" t="s">
        <v>83</v>
      </c>
      <c r="G416" s="9" t="s">
        <v>16</v>
      </c>
      <c r="H416" s="9" t="s">
        <v>49</v>
      </c>
      <c r="I416" s="9" t="s">
        <v>49</v>
      </c>
      <c r="J416" s="9" t="s">
        <v>48</v>
      </c>
      <c r="K416" s="9" t="s">
        <v>50</v>
      </c>
      <c r="L416" s="9"/>
      <c r="M416" s="9"/>
      <c r="N416" s="9"/>
      <c r="O416" s="9" t="s">
        <v>1592</v>
      </c>
    </row>
    <row r="417" spans="1:15">
      <c r="A417" s="9" t="s">
        <v>6</v>
      </c>
      <c r="B417" s="9" t="s">
        <v>684</v>
      </c>
      <c r="C417" s="9" t="s">
        <v>699</v>
      </c>
      <c r="D417" s="9" t="s">
        <v>68</v>
      </c>
      <c r="E417" s="9" t="s">
        <v>1593</v>
      </c>
      <c r="F417" s="9" t="s">
        <v>83</v>
      </c>
      <c r="G417" s="9" t="s">
        <v>16</v>
      </c>
      <c r="H417" s="9" t="s">
        <v>49</v>
      </c>
      <c r="I417" s="9" t="s">
        <v>49</v>
      </c>
      <c r="J417" s="9" t="s">
        <v>48</v>
      </c>
      <c r="K417" s="9" t="s">
        <v>50</v>
      </c>
      <c r="L417" s="9" t="s">
        <v>701</v>
      </c>
      <c r="M417" s="9"/>
      <c r="N417" s="9" t="s">
        <v>702</v>
      </c>
      <c r="O417" s="9" t="s">
        <v>1594</v>
      </c>
    </row>
    <row r="418" spans="1:15">
      <c r="A418" s="9" t="s">
        <v>6</v>
      </c>
      <c r="B418" s="9" t="s">
        <v>684</v>
      </c>
      <c r="C418" s="9" t="s">
        <v>704</v>
      </c>
      <c r="D418" s="9" t="s">
        <v>241</v>
      </c>
      <c r="E418" s="9" t="s">
        <v>1595</v>
      </c>
      <c r="F418" s="9" t="s">
        <v>243</v>
      </c>
      <c r="G418" s="9" t="s">
        <v>16</v>
      </c>
      <c r="H418" s="9" t="s">
        <v>49</v>
      </c>
      <c r="I418" s="9" t="s">
        <v>49</v>
      </c>
      <c r="J418" s="9" t="s">
        <v>48</v>
      </c>
      <c r="K418" s="9" t="s">
        <v>244</v>
      </c>
      <c r="L418" s="9" t="s">
        <v>706</v>
      </c>
      <c r="M418" s="9"/>
      <c r="N418" s="9" t="s">
        <v>323</v>
      </c>
      <c r="O418" s="9" t="s">
        <v>1596</v>
      </c>
    </row>
    <row r="419" spans="1:15">
      <c r="A419" s="9" t="s">
        <v>6</v>
      </c>
      <c r="B419" s="9" t="s">
        <v>684</v>
      </c>
      <c r="C419" s="9" t="s">
        <v>708</v>
      </c>
      <c r="D419" s="9" t="s">
        <v>709</v>
      </c>
      <c r="E419" s="9" t="s">
        <v>1597</v>
      </c>
      <c r="F419" s="9" t="s">
        <v>83</v>
      </c>
      <c r="G419" s="9" t="s">
        <v>16</v>
      </c>
      <c r="H419" s="9" t="s">
        <v>49</v>
      </c>
      <c r="I419" s="9" t="s">
        <v>49</v>
      </c>
      <c r="J419" s="9" t="s">
        <v>48</v>
      </c>
      <c r="K419" s="9" t="s">
        <v>50</v>
      </c>
      <c r="L419" s="9" t="s">
        <v>711</v>
      </c>
      <c r="M419" s="9"/>
      <c r="N419" s="9"/>
      <c r="O419" s="9" t="s">
        <v>1598</v>
      </c>
    </row>
    <row r="420" spans="1:15">
      <c r="A420" s="9" t="s">
        <v>6</v>
      </c>
      <c r="B420" s="9" t="s">
        <v>684</v>
      </c>
      <c r="C420" s="9" t="s">
        <v>713</v>
      </c>
      <c r="D420" s="9" t="s">
        <v>355</v>
      </c>
      <c r="E420" s="9" t="s">
        <v>1599</v>
      </c>
      <c r="F420" s="9" t="s">
        <v>83</v>
      </c>
      <c r="G420" s="9" t="s">
        <v>16</v>
      </c>
      <c r="H420" s="9" t="s">
        <v>49</v>
      </c>
      <c r="I420" s="9" t="s">
        <v>49</v>
      </c>
      <c r="J420" s="9" t="s">
        <v>48</v>
      </c>
      <c r="K420" s="9" t="s">
        <v>50</v>
      </c>
      <c r="L420" s="9" t="s">
        <v>357</v>
      </c>
      <c r="M420" s="9"/>
      <c r="N420" s="9" t="s">
        <v>715</v>
      </c>
      <c r="O420" s="9" t="s">
        <v>1600</v>
      </c>
    </row>
    <row r="421" spans="1:15">
      <c r="A421" s="9" t="s">
        <v>6</v>
      </c>
      <c r="B421" s="9" t="s">
        <v>684</v>
      </c>
      <c r="C421" s="9" t="s">
        <v>717</v>
      </c>
      <c r="D421" s="9" t="s">
        <v>361</v>
      </c>
      <c r="E421" s="9" t="s">
        <v>1601</v>
      </c>
      <c r="F421" s="9" t="s">
        <v>83</v>
      </c>
      <c r="G421" s="9" t="s">
        <v>16</v>
      </c>
      <c r="H421" s="9" t="s">
        <v>49</v>
      </c>
      <c r="I421" s="9" t="s">
        <v>49</v>
      </c>
      <c r="J421" s="9" t="s">
        <v>48</v>
      </c>
      <c r="K421" s="9" t="s">
        <v>50</v>
      </c>
      <c r="L421" s="9" t="s">
        <v>363</v>
      </c>
      <c r="M421" s="9"/>
      <c r="N421" s="9" t="s">
        <v>719</v>
      </c>
      <c r="O421" s="9" t="s">
        <v>1602</v>
      </c>
    </row>
    <row r="422" spans="1:15">
      <c r="A422" s="9" t="s">
        <v>6</v>
      </c>
      <c r="B422" s="9" t="s">
        <v>684</v>
      </c>
      <c r="C422" s="9" t="s">
        <v>721</v>
      </c>
      <c r="D422" s="9" t="s">
        <v>367</v>
      </c>
      <c r="E422" s="9" t="s">
        <v>1603</v>
      </c>
      <c r="F422" s="9" t="s">
        <v>83</v>
      </c>
      <c r="G422" s="9" t="s">
        <v>16</v>
      </c>
      <c r="H422" s="9" t="s">
        <v>49</v>
      </c>
      <c r="I422" s="9" t="s">
        <v>49</v>
      </c>
      <c r="J422" s="9" t="s">
        <v>48</v>
      </c>
      <c r="K422" s="9" t="s">
        <v>50</v>
      </c>
      <c r="L422" s="9" t="s">
        <v>723</v>
      </c>
      <c r="M422" s="9"/>
      <c r="N422" s="9" t="s">
        <v>724</v>
      </c>
      <c r="O422" s="9" t="s">
        <v>1604</v>
      </c>
    </row>
    <row r="423" spans="1:15">
      <c r="A423" s="9" t="s">
        <v>6</v>
      </c>
      <c r="B423" s="9" t="s">
        <v>684</v>
      </c>
      <c r="C423" s="9" t="s">
        <v>726</v>
      </c>
      <c r="D423" s="9" t="s">
        <v>373</v>
      </c>
      <c r="E423" s="9" t="s">
        <v>1605</v>
      </c>
      <c r="F423" s="9" t="s">
        <v>83</v>
      </c>
      <c r="G423" s="9" t="s">
        <v>16</v>
      </c>
      <c r="H423" s="9" t="s">
        <v>49</v>
      </c>
      <c r="I423" s="9" t="s">
        <v>49</v>
      </c>
      <c r="J423" s="9" t="s">
        <v>48</v>
      </c>
      <c r="K423" s="9" t="s">
        <v>50</v>
      </c>
      <c r="L423" s="9" t="s">
        <v>375</v>
      </c>
      <c r="M423" s="9"/>
      <c r="N423" s="9" t="s">
        <v>728</v>
      </c>
      <c r="O423" s="9" t="s">
        <v>1606</v>
      </c>
    </row>
    <row r="424" spans="1:15">
      <c r="A424" s="9" t="s">
        <v>6</v>
      </c>
      <c r="B424" s="9" t="s">
        <v>684</v>
      </c>
      <c r="C424" s="9" t="s">
        <v>730</v>
      </c>
      <c r="D424" s="9" t="s">
        <v>379</v>
      </c>
      <c r="E424" s="9" t="s">
        <v>1607</v>
      </c>
      <c r="F424" s="9" t="s">
        <v>83</v>
      </c>
      <c r="G424" s="9" t="s">
        <v>16</v>
      </c>
      <c r="H424" s="9" t="s">
        <v>49</v>
      </c>
      <c r="I424" s="9" t="s">
        <v>49</v>
      </c>
      <c r="J424" s="9" t="s">
        <v>48</v>
      </c>
      <c r="K424" s="9" t="s">
        <v>381</v>
      </c>
      <c r="L424" s="9" t="s">
        <v>382</v>
      </c>
      <c r="M424" s="9"/>
      <c r="N424" s="9" t="s">
        <v>732</v>
      </c>
      <c r="O424" s="9" t="s">
        <v>1608</v>
      </c>
    </row>
    <row r="425" spans="1:15">
      <c r="A425" s="9" t="s">
        <v>6</v>
      </c>
      <c r="B425" s="9" t="s">
        <v>684</v>
      </c>
      <c r="C425" s="9" t="s">
        <v>385</v>
      </c>
      <c r="D425" s="9" t="s">
        <v>386</v>
      </c>
      <c r="E425" s="9" t="s">
        <v>1609</v>
      </c>
      <c r="F425" s="9" t="s">
        <v>83</v>
      </c>
      <c r="G425" s="9" t="s">
        <v>16</v>
      </c>
      <c r="H425" s="9" t="s">
        <v>49</v>
      </c>
      <c r="I425" s="9" t="s">
        <v>49</v>
      </c>
      <c r="J425" s="9" t="s">
        <v>48</v>
      </c>
      <c r="K425" s="9" t="s">
        <v>50</v>
      </c>
      <c r="L425" s="9" t="s">
        <v>385</v>
      </c>
      <c r="M425" s="9"/>
      <c r="N425" s="9"/>
      <c r="O425" s="9" t="s">
        <v>1610</v>
      </c>
    </row>
    <row r="426" spans="1:15">
      <c r="A426" s="9" t="s">
        <v>6</v>
      </c>
      <c r="B426" s="9" t="s">
        <v>684</v>
      </c>
      <c r="C426" s="9" t="s">
        <v>736</v>
      </c>
      <c r="D426" s="9" t="s">
        <v>390</v>
      </c>
      <c r="E426" s="9" t="s">
        <v>1611</v>
      </c>
      <c r="F426" s="9" t="s">
        <v>47</v>
      </c>
      <c r="G426" s="9" t="s">
        <v>12</v>
      </c>
      <c r="H426" s="9" t="s">
        <v>49</v>
      </c>
      <c r="I426" s="9" t="s">
        <v>49</v>
      </c>
      <c r="J426" s="9" t="s">
        <v>48</v>
      </c>
      <c r="K426" s="9" t="s">
        <v>50</v>
      </c>
      <c r="L426" s="9" t="s">
        <v>363</v>
      </c>
      <c r="M426" s="9"/>
      <c r="N426" s="9" t="s">
        <v>738</v>
      </c>
      <c r="O426" s="9" t="s">
        <v>1612</v>
      </c>
    </row>
    <row r="427" spans="1:15">
      <c r="A427" s="9" t="s">
        <v>6</v>
      </c>
      <c r="B427" s="9" t="s">
        <v>684</v>
      </c>
      <c r="C427" s="9" t="s">
        <v>394</v>
      </c>
      <c r="D427" s="9" t="s">
        <v>395</v>
      </c>
      <c r="E427" s="9" t="s">
        <v>1613</v>
      </c>
      <c r="F427" s="9" t="s">
        <v>47</v>
      </c>
      <c r="G427" s="9" t="s">
        <v>12</v>
      </c>
      <c r="H427" s="9" t="s">
        <v>49</v>
      </c>
      <c r="I427" s="9" t="s">
        <v>49</v>
      </c>
      <c r="J427" s="9" t="s">
        <v>48</v>
      </c>
      <c r="K427" s="9" t="s">
        <v>381</v>
      </c>
      <c r="L427" s="9" t="s">
        <v>394</v>
      </c>
      <c r="M427" s="9"/>
      <c r="N427" s="9"/>
      <c r="O427" s="9" t="s">
        <v>1614</v>
      </c>
    </row>
    <row r="428" spans="1:15">
      <c r="A428" s="9" t="s">
        <v>6</v>
      </c>
      <c r="B428" s="9" t="s">
        <v>684</v>
      </c>
      <c r="C428" s="9" t="s">
        <v>742</v>
      </c>
      <c r="D428" s="9" t="s">
        <v>399</v>
      </c>
      <c r="E428" s="9" t="s">
        <v>1615</v>
      </c>
      <c r="F428" s="9" t="s">
        <v>47</v>
      </c>
      <c r="G428" s="9" t="s">
        <v>12</v>
      </c>
      <c r="H428" s="9" t="s">
        <v>49</v>
      </c>
      <c r="I428" s="9" t="s">
        <v>49</v>
      </c>
      <c r="J428" s="9" t="s">
        <v>48</v>
      </c>
      <c r="K428" s="9" t="s">
        <v>381</v>
      </c>
      <c r="L428" s="9" t="s">
        <v>401</v>
      </c>
      <c r="M428" s="9"/>
      <c r="N428" s="9" t="s">
        <v>542</v>
      </c>
      <c r="O428" s="9" t="s">
        <v>1616</v>
      </c>
    </row>
    <row r="429" spans="1:15">
      <c r="A429" s="9" t="s">
        <v>6</v>
      </c>
      <c r="B429" s="9" t="s">
        <v>684</v>
      </c>
      <c r="C429" s="9" t="s">
        <v>745</v>
      </c>
      <c r="D429" s="9" t="s">
        <v>746</v>
      </c>
      <c r="E429" s="9" t="s">
        <v>1617</v>
      </c>
      <c r="F429" s="9" t="s">
        <v>83</v>
      </c>
      <c r="G429" s="9" t="s">
        <v>16</v>
      </c>
      <c r="H429" s="9" t="s">
        <v>49</v>
      </c>
      <c r="I429" s="9" t="s">
        <v>49</v>
      </c>
      <c r="J429" s="9" t="s">
        <v>48</v>
      </c>
      <c r="K429" s="9" t="s">
        <v>50</v>
      </c>
      <c r="L429" s="9" t="s">
        <v>745</v>
      </c>
      <c r="M429" s="9"/>
      <c r="N429" s="9"/>
      <c r="O429" s="9" t="s">
        <v>1618</v>
      </c>
    </row>
    <row r="430" spans="1:15">
      <c r="A430" s="9" t="s">
        <v>6</v>
      </c>
      <c r="B430" s="9" t="s">
        <v>684</v>
      </c>
      <c r="C430" s="9" t="s">
        <v>339</v>
      </c>
      <c r="D430" s="9" t="s">
        <v>340</v>
      </c>
      <c r="E430" s="9" t="s">
        <v>1619</v>
      </c>
      <c r="F430" s="9" t="s">
        <v>47</v>
      </c>
      <c r="G430" s="9" t="s">
        <v>12</v>
      </c>
      <c r="H430" s="9" t="s">
        <v>49</v>
      </c>
      <c r="I430" s="9" t="s">
        <v>49</v>
      </c>
      <c r="J430" s="9" t="s">
        <v>48</v>
      </c>
      <c r="K430" s="9" t="s">
        <v>50</v>
      </c>
      <c r="L430" s="9" t="s">
        <v>339</v>
      </c>
      <c r="M430" s="9"/>
      <c r="N430" s="9"/>
      <c r="O430" s="9" t="s">
        <v>1620</v>
      </c>
    </row>
    <row r="431" spans="1:15">
      <c r="A431" s="9" t="s">
        <v>6</v>
      </c>
      <c r="B431" s="9" t="s">
        <v>684</v>
      </c>
      <c r="C431" s="9" t="s">
        <v>751</v>
      </c>
      <c r="D431" s="9" t="s">
        <v>344</v>
      </c>
      <c r="E431" s="9" t="s">
        <v>1621</v>
      </c>
      <c r="F431" s="9" t="s">
        <v>47</v>
      </c>
      <c r="G431" s="9" t="s">
        <v>12</v>
      </c>
      <c r="H431" s="9" t="s">
        <v>49</v>
      </c>
      <c r="I431" s="9" t="s">
        <v>49</v>
      </c>
      <c r="J431" s="9" t="s">
        <v>48</v>
      </c>
      <c r="K431" s="9" t="s">
        <v>50</v>
      </c>
      <c r="L431" s="9" t="s">
        <v>753</v>
      </c>
      <c r="M431" s="9"/>
      <c r="N431" s="9" t="s">
        <v>754</v>
      </c>
      <c r="O431" s="9" t="s">
        <v>1622</v>
      </c>
    </row>
    <row r="432" spans="1:15">
      <c r="A432" s="9" t="s">
        <v>6</v>
      </c>
      <c r="B432" s="9" t="s">
        <v>756</v>
      </c>
      <c r="C432" s="9" t="s">
        <v>757</v>
      </c>
      <c r="D432" s="9" t="s">
        <v>758</v>
      </c>
      <c r="E432" s="9" t="s">
        <v>1623</v>
      </c>
      <c r="F432" s="9" t="s">
        <v>176</v>
      </c>
      <c r="G432" s="9" t="s">
        <v>16</v>
      </c>
      <c r="H432" s="9" t="s">
        <v>49</v>
      </c>
      <c r="I432" s="9" t="s">
        <v>48</v>
      </c>
      <c r="J432" s="9" t="s">
        <v>48</v>
      </c>
      <c r="K432" s="9" t="s">
        <v>50</v>
      </c>
      <c r="L432" s="9" t="s">
        <v>760</v>
      </c>
      <c r="M432" s="9"/>
      <c r="N432" s="9"/>
      <c r="O432" s="9" t="s">
        <v>1624</v>
      </c>
    </row>
    <row r="433" spans="1:15">
      <c r="A433" s="9" t="s">
        <v>6</v>
      </c>
      <c r="B433" s="9" t="s">
        <v>756</v>
      </c>
      <c r="C433" s="9" t="s">
        <v>762</v>
      </c>
      <c r="D433" s="9" t="s">
        <v>763</v>
      </c>
      <c r="E433" s="9" t="s">
        <v>1625</v>
      </c>
      <c r="F433" s="9" t="s">
        <v>47</v>
      </c>
      <c r="G433" s="9" t="s">
        <v>12</v>
      </c>
      <c r="H433" s="9" t="s">
        <v>49</v>
      </c>
      <c r="I433" s="9" t="s">
        <v>49</v>
      </c>
      <c r="J433" s="9" t="s">
        <v>48</v>
      </c>
      <c r="K433" s="9" t="s">
        <v>50</v>
      </c>
      <c r="L433" s="9" t="s">
        <v>765</v>
      </c>
      <c r="M433" s="9"/>
      <c r="N433" s="9" t="s">
        <v>766</v>
      </c>
      <c r="O433" s="9" t="s">
        <v>1626</v>
      </c>
    </row>
    <row r="434" spans="1:15">
      <c r="A434" s="9" t="s">
        <v>6</v>
      </c>
      <c r="B434" s="9" t="s">
        <v>756</v>
      </c>
      <c r="C434" s="9" t="s">
        <v>768</v>
      </c>
      <c r="D434" s="9" t="s">
        <v>769</v>
      </c>
      <c r="E434" s="9" t="s">
        <v>1627</v>
      </c>
      <c r="F434" s="9" t="s">
        <v>243</v>
      </c>
      <c r="G434" s="9" t="s">
        <v>16</v>
      </c>
      <c r="H434" s="9" t="s">
        <v>49</v>
      </c>
      <c r="I434" s="9" t="s">
        <v>49</v>
      </c>
      <c r="J434" s="9" t="s">
        <v>48</v>
      </c>
      <c r="K434" s="9" t="s">
        <v>50</v>
      </c>
      <c r="L434" s="9" t="s">
        <v>771</v>
      </c>
      <c r="M434" s="9"/>
      <c r="N434" s="9" t="s">
        <v>778</v>
      </c>
      <c r="O434" s="9" t="s">
        <v>1628</v>
      </c>
    </row>
    <row r="435" spans="1:15">
      <c r="A435" s="9" t="s">
        <v>6</v>
      </c>
      <c r="B435" s="9" t="s">
        <v>756</v>
      </c>
      <c r="C435" s="9" t="s">
        <v>80</v>
      </c>
      <c r="D435" s="9" t="s">
        <v>1629</v>
      </c>
      <c r="E435" s="9" t="s">
        <v>1630</v>
      </c>
      <c r="F435" s="9" t="s">
        <v>83</v>
      </c>
      <c r="G435" s="9" t="s">
        <v>14</v>
      </c>
      <c r="H435" s="9" t="s">
        <v>49</v>
      </c>
      <c r="I435" s="9" t="s">
        <v>49</v>
      </c>
      <c r="J435" s="9" t="s">
        <v>48</v>
      </c>
      <c r="K435" s="9" t="s">
        <v>84</v>
      </c>
      <c r="L435" s="9" t="s">
        <v>85</v>
      </c>
      <c r="M435" s="9"/>
      <c r="N435" s="9" t="s">
        <v>78</v>
      </c>
      <c r="O435" s="9" t="s">
        <v>1631</v>
      </c>
    </row>
    <row r="436" spans="1:15">
      <c r="A436" s="9" t="s">
        <v>6</v>
      </c>
      <c r="B436" s="9" t="s">
        <v>756</v>
      </c>
      <c r="C436" s="9" t="s">
        <v>774</v>
      </c>
      <c r="D436" s="9" t="s">
        <v>775</v>
      </c>
      <c r="E436" s="9" t="s">
        <v>1632</v>
      </c>
      <c r="F436" s="9" t="s">
        <v>83</v>
      </c>
      <c r="G436" s="9" t="s">
        <v>16</v>
      </c>
      <c r="H436" s="9" t="s">
        <v>49</v>
      </c>
      <c r="I436" s="9" t="s">
        <v>49</v>
      </c>
      <c r="J436" s="9" t="s">
        <v>48</v>
      </c>
      <c r="K436" s="9" t="s">
        <v>50</v>
      </c>
      <c r="L436" s="9" t="s">
        <v>777</v>
      </c>
      <c r="M436" s="9"/>
      <c r="N436" s="9" t="s">
        <v>772</v>
      </c>
      <c r="O436" s="9" t="s">
        <v>1633</v>
      </c>
    </row>
    <row r="437" spans="1:15">
      <c r="A437" s="9" t="s">
        <v>6</v>
      </c>
      <c r="B437" s="9" t="s">
        <v>756</v>
      </c>
      <c r="C437" s="9" t="s">
        <v>780</v>
      </c>
      <c r="D437" s="9" t="s">
        <v>781</v>
      </c>
      <c r="E437" s="9" t="s">
        <v>1634</v>
      </c>
      <c r="F437" s="9" t="s">
        <v>83</v>
      </c>
      <c r="G437" s="9" t="s">
        <v>16</v>
      </c>
      <c r="H437" s="9" t="s">
        <v>49</v>
      </c>
      <c r="I437" s="9" t="s">
        <v>49</v>
      </c>
      <c r="J437" s="9" t="s">
        <v>48</v>
      </c>
      <c r="K437" s="9" t="s">
        <v>50</v>
      </c>
      <c r="L437" s="9" t="s">
        <v>783</v>
      </c>
      <c r="M437" s="9"/>
      <c r="N437" s="9"/>
      <c r="O437" s="9" t="s">
        <v>1635</v>
      </c>
    </row>
    <row r="438" spans="1:15">
      <c r="A438" s="9" t="s">
        <v>6</v>
      </c>
      <c r="B438" s="9" t="s">
        <v>756</v>
      </c>
      <c r="C438" s="9" t="s">
        <v>785</v>
      </c>
      <c r="D438" s="9" t="s">
        <v>786</v>
      </c>
      <c r="E438" s="9" t="s">
        <v>1636</v>
      </c>
      <c r="F438" s="9" t="s">
        <v>47</v>
      </c>
      <c r="G438" s="9" t="s">
        <v>12</v>
      </c>
      <c r="H438" s="9" t="s">
        <v>49</v>
      </c>
      <c r="I438" s="9" t="s">
        <v>49</v>
      </c>
      <c r="J438" s="9" t="s">
        <v>48</v>
      </c>
      <c r="K438" s="9" t="s">
        <v>50</v>
      </c>
      <c r="L438" s="9" t="s">
        <v>788</v>
      </c>
      <c r="M438" s="9"/>
      <c r="N438" s="9" t="s">
        <v>789</v>
      </c>
      <c r="O438" s="9" t="s">
        <v>1637</v>
      </c>
    </row>
    <row r="439" spans="1:15">
      <c r="A439" s="9" t="s">
        <v>6</v>
      </c>
      <c r="B439" s="9" t="s">
        <v>756</v>
      </c>
      <c r="C439" s="9" t="s">
        <v>791</v>
      </c>
      <c r="D439" s="9" t="s">
        <v>791</v>
      </c>
      <c r="E439" s="9" t="s">
        <v>1638</v>
      </c>
      <c r="F439" s="9" t="s">
        <v>47</v>
      </c>
      <c r="G439" s="9" t="s">
        <v>12</v>
      </c>
      <c r="H439" s="9" t="s">
        <v>49</v>
      </c>
      <c r="I439" s="9" t="s">
        <v>49</v>
      </c>
      <c r="J439" s="9" t="s">
        <v>48</v>
      </c>
      <c r="K439" s="9" t="s">
        <v>50</v>
      </c>
      <c r="L439" s="9" t="s">
        <v>793</v>
      </c>
      <c r="M439" s="9"/>
      <c r="N439" s="9" t="s">
        <v>794</v>
      </c>
      <c r="O439" s="9" t="s">
        <v>1639</v>
      </c>
    </row>
    <row r="440" spans="1:15">
      <c r="A440" s="9" t="s">
        <v>6</v>
      </c>
      <c r="B440" s="9" t="s">
        <v>756</v>
      </c>
      <c r="C440" s="9" t="s">
        <v>796</v>
      </c>
      <c r="D440" s="9" t="s">
        <v>797</v>
      </c>
      <c r="E440" s="9" t="s">
        <v>1640</v>
      </c>
      <c r="F440" s="9" t="s">
        <v>83</v>
      </c>
      <c r="G440" s="9" t="s">
        <v>16</v>
      </c>
      <c r="H440" s="9" t="s">
        <v>49</v>
      </c>
      <c r="I440" s="9" t="s">
        <v>49</v>
      </c>
      <c r="J440" s="9" t="s">
        <v>48</v>
      </c>
      <c r="K440" s="9" t="s">
        <v>50</v>
      </c>
      <c r="L440" s="9" t="s">
        <v>799</v>
      </c>
      <c r="M440" s="9"/>
      <c r="N440" s="9" t="s">
        <v>800</v>
      </c>
      <c r="O440" s="9" t="s">
        <v>1641</v>
      </c>
    </row>
    <row r="441" spans="1:15">
      <c r="A441" s="9" t="s">
        <v>6</v>
      </c>
      <c r="B441" s="9" t="s">
        <v>756</v>
      </c>
      <c r="C441" s="9" t="s">
        <v>802</v>
      </c>
      <c r="D441" s="9" t="s">
        <v>803</v>
      </c>
      <c r="E441" s="9" t="s">
        <v>1642</v>
      </c>
      <c r="F441" s="9" t="s">
        <v>83</v>
      </c>
      <c r="G441" s="9" t="s">
        <v>16</v>
      </c>
      <c r="H441" s="9" t="s">
        <v>49</v>
      </c>
      <c r="I441" s="9" t="s">
        <v>49</v>
      </c>
      <c r="J441" s="9" t="s">
        <v>48</v>
      </c>
      <c r="K441" s="9" t="s">
        <v>50</v>
      </c>
      <c r="L441" s="9" t="s">
        <v>805</v>
      </c>
      <c r="M441" s="9"/>
      <c r="N441" s="9"/>
      <c r="O441" s="9" t="s">
        <v>1643</v>
      </c>
    </row>
    <row r="442" spans="1:15">
      <c r="A442" s="9" t="s">
        <v>6</v>
      </c>
      <c r="B442" s="9" t="s">
        <v>756</v>
      </c>
      <c r="C442" s="9" t="s">
        <v>807</v>
      </c>
      <c r="D442" s="9" t="s">
        <v>68</v>
      </c>
      <c r="E442" s="9" t="s">
        <v>1644</v>
      </c>
      <c r="F442" s="9" t="s">
        <v>47</v>
      </c>
      <c r="G442" s="9" t="s">
        <v>12</v>
      </c>
      <c r="H442" s="9" t="s">
        <v>49</v>
      </c>
      <c r="I442" s="9" t="s">
        <v>49</v>
      </c>
      <c r="J442" s="9" t="s">
        <v>48</v>
      </c>
      <c r="K442" s="9" t="s">
        <v>50</v>
      </c>
      <c r="L442" s="9" t="s">
        <v>809</v>
      </c>
      <c r="M442" s="9"/>
      <c r="N442" s="9" t="s">
        <v>810</v>
      </c>
      <c r="O442" s="9" t="s">
        <v>1645</v>
      </c>
    </row>
    <row r="443" spans="1:15">
      <c r="A443" s="9" t="s">
        <v>6</v>
      </c>
      <c r="B443" s="9" t="s">
        <v>756</v>
      </c>
      <c r="C443" s="9" t="s">
        <v>812</v>
      </c>
      <c r="D443" s="9" t="s">
        <v>344</v>
      </c>
      <c r="E443" s="9" t="s">
        <v>1646</v>
      </c>
      <c r="F443" s="9" t="s">
        <v>83</v>
      </c>
      <c r="G443" s="9" t="s">
        <v>16</v>
      </c>
      <c r="H443" s="9" t="s">
        <v>49</v>
      </c>
      <c r="I443" s="9" t="s">
        <v>49</v>
      </c>
      <c r="J443" s="9" t="s">
        <v>48</v>
      </c>
      <c r="K443" s="9" t="s">
        <v>50</v>
      </c>
      <c r="L443" s="9" t="s">
        <v>814</v>
      </c>
      <c r="M443" s="9"/>
      <c r="N443" s="9" t="s">
        <v>815</v>
      </c>
      <c r="O443" s="9" t="s">
        <v>1647</v>
      </c>
    </row>
    <row r="444" spans="1:15">
      <c r="A444" s="9" t="s">
        <v>6</v>
      </c>
      <c r="B444" s="9" t="s">
        <v>756</v>
      </c>
      <c r="C444" s="9" t="s">
        <v>817</v>
      </c>
      <c r="D444" s="9" t="s">
        <v>818</v>
      </c>
      <c r="E444" s="9" t="s">
        <v>1648</v>
      </c>
      <c r="F444" s="9" t="s">
        <v>83</v>
      </c>
      <c r="G444" s="9" t="s">
        <v>16</v>
      </c>
      <c r="H444" s="9" t="s">
        <v>49</v>
      </c>
      <c r="I444" s="9" t="s">
        <v>49</v>
      </c>
      <c r="J444" s="9" t="s">
        <v>48</v>
      </c>
      <c r="K444" s="9" t="s">
        <v>50</v>
      </c>
      <c r="L444" s="9" t="s">
        <v>817</v>
      </c>
      <c r="M444" s="9"/>
      <c r="N444" s="9"/>
      <c r="O444" s="9" t="s">
        <v>1649</v>
      </c>
    </row>
    <row r="445" spans="1:15">
      <c r="A445" s="9" t="s">
        <v>6</v>
      </c>
      <c r="B445" s="9" t="s">
        <v>756</v>
      </c>
      <c r="C445" s="9" t="s">
        <v>821</v>
      </c>
      <c r="D445" s="9" t="s">
        <v>68</v>
      </c>
      <c r="E445" s="9" t="s">
        <v>1650</v>
      </c>
      <c r="F445" s="9" t="s">
        <v>47</v>
      </c>
      <c r="G445" s="9" t="s">
        <v>12</v>
      </c>
      <c r="H445" s="9" t="s">
        <v>49</v>
      </c>
      <c r="I445" s="9" t="s">
        <v>49</v>
      </c>
      <c r="J445" s="9" t="s">
        <v>48</v>
      </c>
      <c r="K445" s="9" t="s">
        <v>50</v>
      </c>
      <c r="L445" s="9" t="s">
        <v>823</v>
      </c>
      <c r="M445" s="9"/>
      <c r="N445" s="9" t="s">
        <v>824</v>
      </c>
      <c r="O445" s="9" t="s">
        <v>1651</v>
      </c>
    </row>
    <row r="446" spans="1:15">
      <c r="A446" s="9" t="s">
        <v>6</v>
      </c>
      <c r="B446" s="9" t="s">
        <v>756</v>
      </c>
      <c r="C446" s="9" t="s">
        <v>826</v>
      </c>
      <c r="D446" s="9" t="s">
        <v>827</v>
      </c>
      <c r="E446" s="9" t="s">
        <v>1652</v>
      </c>
      <c r="F446" s="9" t="s">
        <v>83</v>
      </c>
      <c r="G446" s="9" t="s">
        <v>16</v>
      </c>
      <c r="H446" s="9" t="s">
        <v>49</v>
      </c>
      <c r="I446" s="9" t="s">
        <v>49</v>
      </c>
      <c r="J446" s="9" t="s">
        <v>48</v>
      </c>
      <c r="K446" s="9" t="s">
        <v>50</v>
      </c>
      <c r="L446" s="9" t="s">
        <v>829</v>
      </c>
      <c r="M446" s="9"/>
      <c r="N446" s="9"/>
      <c r="O446" s="9" t="s">
        <v>1653</v>
      </c>
    </row>
    <row r="447" spans="1:15">
      <c r="A447" s="9" t="s">
        <v>6</v>
      </c>
      <c r="B447" s="9" t="s">
        <v>756</v>
      </c>
      <c r="C447" s="9" t="s">
        <v>831</v>
      </c>
      <c r="D447" s="9" t="s">
        <v>68</v>
      </c>
      <c r="E447" s="9" t="s">
        <v>1654</v>
      </c>
      <c r="F447" s="9" t="s">
        <v>83</v>
      </c>
      <c r="G447" s="9" t="s">
        <v>16</v>
      </c>
      <c r="H447" s="9" t="s">
        <v>49</v>
      </c>
      <c r="I447" s="9" t="s">
        <v>49</v>
      </c>
      <c r="J447" s="9" t="s">
        <v>48</v>
      </c>
      <c r="K447" s="9" t="s">
        <v>50</v>
      </c>
      <c r="L447" s="9" t="s">
        <v>833</v>
      </c>
      <c r="M447" s="9"/>
      <c r="N447" s="9" t="s">
        <v>834</v>
      </c>
      <c r="O447" s="9" t="s">
        <v>1655</v>
      </c>
    </row>
    <row r="448" spans="1:15">
      <c r="A448" s="9" t="s">
        <v>6</v>
      </c>
      <c r="B448" s="9" t="s">
        <v>756</v>
      </c>
      <c r="C448" s="9" t="s">
        <v>836</v>
      </c>
      <c r="D448" s="9" t="s">
        <v>837</v>
      </c>
      <c r="E448" s="9" t="s">
        <v>1656</v>
      </c>
      <c r="F448" s="9" t="s">
        <v>83</v>
      </c>
      <c r="G448" s="9" t="s">
        <v>16</v>
      </c>
      <c r="H448" s="9" t="s">
        <v>49</v>
      </c>
      <c r="I448" s="9" t="s">
        <v>49</v>
      </c>
      <c r="J448" s="9" t="s">
        <v>48</v>
      </c>
      <c r="K448" s="9" t="s">
        <v>50</v>
      </c>
      <c r="L448" s="9" t="s">
        <v>836</v>
      </c>
      <c r="M448" s="9"/>
      <c r="N448" s="9"/>
      <c r="O448" s="9" t="s">
        <v>1657</v>
      </c>
    </row>
    <row r="449" spans="1:15">
      <c r="A449" s="9" t="s">
        <v>6</v>
      </c>
      <c r="B449" s="9" t="s">
        <v>756</v>
      </c>
      <c r="C449" s="9" t="s">
        <v>840</v>
      </c>
      <c r="D449" s="9" t="s">
        <v>68</v>
      </c>
      <c r="E449" s="9" t="s">
        <v>1658</v>
      </c>
      <c r="F449" s="9" t="s">
        <v>47</v>
      </c>
      <c r="G449" s="9" t="s">
        <v>12</v>
      </c>
      <c r="H449" s="9" t="s">
        <v>49</v>
      </c>
      <c r="I449" s="9" t="s">
        <v>49</v>
      </c>
      <c r="J449" s="9" t="s">
        <v>48</v>
      </c>
      <c r="K449" s="9" t="s">
        <v>50</v>
      </c>
      <c r="L449" s="9" t="s">
        <v>842</v>
      </c>
      <c r="M449" s="9"/>
      <c r="N449" s="9" t="s">
        <v>843</v>
      </c>
      <c r="O449" s="9" t="s">
        <v>1659</v>
      </c>
    </row>
    <row r="450" spans="1:15">
      <c r="A450" s="9" t="s">
        <v>6</v>
      </c>
      <c r="B450" s="9" t="s">
        <v>756</v>
      </c>
      <c r="C450" s="9" t="s">
        <v>845</v>
      </c>
      <c r="D450" s="9" t="s">
        <v>846</v>
      </c>
      <c r="E450" s="9" t="s">
        <v>1660</v>
      </c>
      <c r="F450" s="9" t="s">
        <v>83</v>
      </c>
      <c r="G450" s="9" t="s">
        <v>16</v>
      </c>
      <c r="H450" s="9" t="s">
        <v>49</v>
      </c>
      <c r="I450" s="9" t="s">
        <v>49</v>
      </c>
      <c r="J450" s="9" t="s">
        <v>48</v>
      </c>
      <c r="K450" s="9" t="s">
        <v>50</v>
      </c>
      <c r="L450" s="9" t="s">
        <v>845</v>
      </c>
      <c r="M450" s="9"/>
      <c r="N450" s="9"/>
      <c r="O450" s="9" t="s">
        <v>1661</v>
      </c>
    </row>
    <row r="451" spans="1:15">
      <c r="A451" s="9" t="s">
        <v>6</v>
      </c>
      <c r="B451" s="9" t="s">
        <v>756</v>
      </c>
      <c r="C451" s="9" t="s">
        <v>849</v>
      </c>
      <c r="D451" s="9" t="s">
        <v>95</v>
      </c>
      <c r="E451" s="9" t="s">
        <v>1662</v>
      </c>
      <c r="F451" s="9" t="s">
        <v>47</v>
      </c>
      <c r="G451" s="9" t="s">
        <v>12</v>
      </c>
      <c r="H451" s="9" t="s">
        <v>49</v>
      </c>
      <c r="I451" s="9" t="s">
        <v>49</v>
      </c>
      <c r="J451" s="9" t="s">
        <v>48</v>
      </c>
      <c r="K451" s="9" t="s">
        <v>84</v>
      </c>
      <c r="L451" s="9" t="s">
        <v>851</v>
      </c>
      <c r="M451" s="9"/>
      <c r="N451" s="9" t="s">
        <v>852</v>
      </c>
      <c r="O451" s="9" t="s">
        <v>1663</v>
      </c>
    </row>
    <row r="452" spans="1:15">
      <c r="A452" s="9" t="s">
        <v>6</v>
      </c>
      <c r="B452" s="9" t="s">
        <v>854</v>
      </c>
      <c r="C452" s="9" t="s">
        <v>855</v>
      </c>
      <c r="D452" s="9" t="s">
        <v>856</v>
      </c>
      <c r="E452" s="9" t="s">
        <v>1664</v>
      </c>
      <c r="F452" s="9" t="s">
        <v>176</v>
      </c>
      <c r="G452" s="9" t="s">
        <v>16</v>
      </c>
      <c r="H452" s="9" t="s">
        <v>49</v>
      </c>
      <c r="I452" s="9" t="s">
        <v>48</v>
      </c>
      <c r="J452" s="9" t="s">
        <v>48</v>
      </c>
      <c r="K452" s="9" t="s">
        <v>50</v>
      </c>
      <c r="L452" s="9" t="s">
        <v>858</v>
      </c>
      <c r="M452" s="9"/>
      <c r="N452" s="9"/>
      <c r="O452" s="9" t="s">
        <v>1665</v>
      </c>
    </row>
    <row r="453" spans="1:15">
      <c r="A453" s="9" t="s">
        <v>6</v>
      </c>
      <c r="B453" s="9" t="s">
        <v>854</v>
      </c>
      <c r="C453" s="9" t="s">
        <v>860</v>
      </c>
      <c r="D453" s="9" t="s">
        <v>860</v>
      </c>
      <c r="E453" s="9" t="s">
        <v>1666</v>
      </c>
      <c r="F453" s="9" t="s">
        <v>47</v>
      </c>
      <c r="G453" s="9" t="s">
        <v>12</v>
      </c>
      <c r="H453" s="9" t="s">
        <v>49</v>
      </c>
      <c r="I453" s="9" t="s">
        <v>49</v>
      </c>
      <c r="J453" s="9" t="s">
        <v>48</v>
      </c>
      <c r="K453" s="9" t="s">
        <v>50</v>
      </c>
      <c r="L453" s="9" t="s">
        <v>862</v>
      </c>
      <c r="M453" s="9"/>
      <c r="N453" s="9" t="s">
        <v>863</v>
      </c>
      <c r="O453" s="9" t="s">
        <v>1667</v>
      </c>
    </row>
    <row r="454" spans="1:15">
      <c r="A454" s="9" t="s">
        <v>6</v>
      </c>
      <c r="B454" s="9" t="s">
        <v>854</v>
      </c>
      <c r="C454" s="9" t="s">
        <v>865</v>
      </c>
      <c r="D454" s="9" t="s">
        <v>866</v>
      </c>
      <c r="E454" s="9" t="s">
        <v>1668</v>
      </c>
      <c r="F454" s="9" t="s">
        <v>83</v>
      </c>
      <c r="G454" s="9" t="s">
        <v>16</v>
      </c>
      <c r="H454" s="9" t="s">
        <v>49</v>
      </c>
      <c r="I454" s="9" t="s">
        <v>49</v>
      </c>
      <c r="J454" s="9" t="s">
        <v>48</v>
      </c>
      <c r="K454" s="9" t="s">
        <v>128</v>
      </c>
      <c r="L454" s="9" t="s">
        <v>868</v>
      </c>
      <c r="M454" s="9"/>
      <c r="N454" s="9" t="s">
        <v>869</v>
      </c>
      <c r="O454" s="9" t="s">
        <v>1669</v>
      </c>
    </row>
    <row r="455" spans="1:15">
      <c r="A455" s="9" t="s">
        <v>6</v>
      </c>
      <c r="B455" s="9" t="s">
        <v>854</v>
      </c>
      <c r="C455" s="9" t="s">
        <v>871</v>
      </c>
      <c r="D455" s="9" t="s">
        <v>872</v>
      </c>
      <c r="E455" s="9" t="s">
        <v>1670</v>
      </c>
      <c r="F455" s="9" t="s">
        <v>83</v>
      </c>
      <c r="G455" s="9" t="s">
        <v>16</v>
      </c>
      <c r="H455" s="9" t="s">
        <v>49</v>
      </c>
      <c r="I455" s="9" t="s">
        <v>49</v>
      </c>
      <c r="J455" s="9" t="s">
        <v>48</v>
      </c>
      <c r="K455" s="9" t="s">
        <v>128</v>
      </c>
      <c r="L455" s="9" t="s">
        <v>874</v>
      </c>
      <c r="M455" s="9"/>
      <c r="N455" s="9" t="s">
        <v>875</v>
      </c>
      <c r="O455" s="9" t="s">
        <v>1671</v>
      </c>
    </row>
    <row r="456" spans="1:15">
      <c r="A456" s="9" t="s">
        <v>6</v>
      </c>
      <c r="B456" s="9" t="s">
        <v>854</v>
      </c>
      <c r="C456" s="9" t="s">
        <v>877</v>
      </c>
      <c r="D456" s="9" t="s">
        <v>878</v>
      </c>
      <c r="E456" s="9" t="s">
        <v>1672</v>
      </c>
      <c r="F456" s="9" t="s">
        <v>83</v>
      </c>
      <c r="G456" s="9" t="s">
        <v>16</v>
      </c>
      <c r="H456" s="9" t="s">
        <v>49</v>
      </c>
      <c r="I456" s="9" t="s">
        <v>49</v>
      </c>
      <c r="J456" s="9" t="s">
        <v>48</v>
      </c>
      <c r="K456" s="9" t="s">
        <v>880</v>
      </c>
      <c r="L456" s="9" t="s">
        <v>881</v>
      </c>
      <c r="M456" s="9"/>
      <c r="N456" s="9" t="s">
        <v>882</v>
      </c>
      <c r="O456" s="9" t="s">
        <v>1673</v>
      </c>
    </row>
    <row r="457" spans="1:15">
      <c r="A457" s="9" t="s">
        <v>6</v>
      </c>
      <c r="B457" s="9" t="s">
        <v>854</v>
      </c>
      <c r="C457" s="9" t="s">
        <v>884</v>
      </c>
      <c r="D457" s="9" t="s">
        <v>885</v>
      </c>
      <c r="E457" s="9" t="s">
        <v>1674</v>
      </c>
      <c r="F457" s="9" t="s">
        <v>47</v>
      </c>
      <c r="G457" s="9" t="s">
        <v>12</v>
      </c>
      <c r="H457" s="9" t="s">
        <v>49</v>
      </c>
      <c r="I457" s="9" t="s">
        <v>49</v>
      </c>
      <c r="J457" s="9" t="s">
        <v>48</v>
      </c>
      <c r="K457" s="9" t="s">
        <v>887</v>
      </c>
      <c r="L457" s="9" t="s">
        <v>888</v>
      </c>
      <c r="M457" s="9"/>
      <c r="N457" s="9" t="s">
        <v>889</v>
      </c>
      <c r="O457" s="9" t="s">
        <v>1675</v>
      </c>
    </row>
    <row r="458" spans="1:15">
      <c r="A458" s="9" t="s">
        <v>6</v>
      </c>
      <c r="B458" s="9" t="s">
        <v>854</v>
      </c>
      <c r="C458" s="9" t="s">
        <v>891</v>
      </c>
      <c r="D458" s="9" t="s">
        <v>891</v>
      </c>
      <c r="E458" s="9" t="s">
        <v>1676</v>
      </c>
      <c r="F458" s="9" t="s">
        <v>274</v>
      </c>
      <c r="G458" s="9" t="s">
        <v>12</v>
      </c>
      <c r="H458" s="9" t="s">
        <v>49</v>
      </c>
      <c r="I458" s="9" t="s">
        <v>49</v>
      </c>
      <c r="J458" s="9" t="s">
        <v>48</v>
      </c>
      <c r="K458" s="9" t="s">
        <v>893</v>
      </c>
      <c r="L458" s="9" t="s">
        <v>894</v>
      </c>
      <c r="M458" s="9"/>
      <c r="N458" s="9" t="s">
        <v>110</v>
      </c>
      <c r="O458" s="9" t="s">
        <v>1677</v>
      </c>
    </row>
    <row r="459" spans="1:15">
      <c r="A459" s="9" t="s">
        <v>6</v>
      </c>
      <c r="B459" s="9" t="s">
        <v>854</v>
      </c>
      <c r="C459" s="9" t="s">
        <v>896</v>
      </c>
      <c r="D459" s="9" t="s">
        <v>897</v>
      </c>
      <c r="E459" s="9" t="s">
        <v>1678</v>
      </c>
      <c r="F459" s="9" t="s">
        <v>83</v>
      </c>
      <c r="G459" s="9" t="s">
        <v>16</v>
      </c>
      <c r="H459" s="9" t="s">
        <v>49</v>
      </c>
      <c r="I459" s="9" t="s">
        <v>49</v>
      </c>
      <c r="J459" s="9" t="s">
        <v>48</v>
      </c>
      <c r="K459" s="9" t="s">
        <v>887</v>
      </c>
      <c r="L459" s="9" t="s">
        <v>899</v>
      </c>
      <c r="M459" s="9"/>
      <c r="N459" s="9" t="s">
        <v>900</v>
      </c>
      <c r="O459" s="9" t="s">
        <v>1679</v>
      </c>
    </row>
    <row r="460" spans="1:15">
      <c r="A460" s="9" t="s">
        <v>6</v>
      </c>
      <c r="B460" s="9" t="s">
        <v>854</v>
      </c>
      <c r="C460" s="9" t="s">
        <v>891</v>
      </c>
      <c r="D460" s="9" t="s">
        <v>891</v>
      </c>
      <c r="E460" s="9" t="s">
        <v>1680</v>
      </c>
      <c r="F460" s="9" t="s">
        <v>274</v>
      </c>
      <c r="G460" s="9" t="s">
        <v>12</v>
      </c>
      <c r="H460" s="9" t="s">
        <v>49</v>
      </c>
      <c r="I460" s="9" t="s">
        <v>49</v>
      </c>
      <c r="J460" s="9" t="s">
        <v>48</v>
      </c>
      <c r="K460" s="9" t="s">
        <v>893</v>
      </c>
      <c r="L460" s="9" t="s">
        <v>894</v>
      </c>
      <c r="M460" s="9"/>
      <c r="N460" s="9" t="s">
        <v>110</v>
      </c>
      <c r="O460" s="9" t="s">
        <v>1681</v>
      </c>
    </row>
    <row r="461" spans="1:15">
      <c r="A461" s="9" t="s">
        <v>6</v>
      </c>
      <c r="B461" s="9" t="s">
        <v>854</v>
      </c>
      <c r="C461" s="9" t="s">
        <v>904</v>
      </c>
      <c r="D461" s="9" t="s">
        <v>905</v>
      </c>
      <c r="E461" s="9" t="s">
        <v>1682</v>
      </c>
      <c r="F461" s="9" t="s">
        <v>47</v>
      </c>
      <c r="G461" s="9" t="s">
        <v>12</v>
      </c>
      <c r="H461" s="9" t="s">
        <v>49</v>
      </c>
      <c r="I461" s="9" t="s">
        <v>49</v>
      </c>
      <c r="J461" s="9" t="s">
        <v>48</v>
      </c>
      <c r="K461" s="9" t="s">
        <v>907</v>
      </c>
      <c r="L461" s="9" t="s">
        <v>904</v>
      </c>
      <c r="M461" s="9"/>
      <c r="N461" s="9"/>
      <c r="O461" s="9" t="s">
        <v>1683</v>
      </c>
    </row>
    <row r="462" spans="1:15">
      <c r="A462" s="9" t="s">
        <v>6</v>
      </c>
      <c r="B462" s="9" t="s">
        <v>854</v>
      </c>
      <c r="C462" s="9" t="s">
        <v>909</v>
      </c>
      <c r="D462" s="9" t="s">
        <v>68</v>
      </c>
      <c r="E462" s="9" t="s">
        <v>1684</v>
      </c>
      <c r="F462" s="9" t="s">
        <v>47</v>
      </c>
      <c r="G462" s="9" t="s">
        <v>12</v>
      </c>
      <c r="H462" s="9" t="s">
        <v>49</v>
      </c>
      <c r="I462" s="9" t="s">
        <v>49</v>
      </c>
      <c r="J462" s="9" t="s">
        <v>48</v>
      </c>
      <c r="K462" s="9" t="s">
        <v>907</v>
      </c>
      <c r="L462" s="9" t="s">
        <v>911</v>
      </c>
      <c r="M462" s="9"/>
      <c r="N462" s="9" t="s">
        <v>912</v>
      </c>
      <c r="O462" s="9" t="s">
        <v>1685</v>
      </c>
    </row>
    <row r="463" spans="1:15">
      <c r="A463" s="9" t="s">
        <v>6</v>
      </c>
      <c r="B463" s="9" t="s">
        <v>854</v>
      </c>
      <c r="C463" s="9" t="s">
        <v>914</v>
      </c>
      <c r="D463" s="9" t="s">
        <v>915</v>
      </c>
      <c r="E463" s="9" t="s">
        <v>1686</v>
      </c>
      <c r="F463" s="9" t="s">
        <v>83</v>
      </c>
      <c r="G463" s="9" t="s">
        <v>16</v>
      </c>
      <c r="H463" s="9" t="s">
        <v>49</v>
      </c>
      <c r="I463" s="9" t="s">
        <v>49</v>
      </c>
      <c r="J463" s="9" t="s">
        <v>48</v>
      </c>
      <c r="K463" s="9" t="s">
        <v>880</v>
      </c>
      <c r="L463" s="9" t="s">
        <v>917</v>
      </c>
      <c r="M463" s="9"/>
      <c r="N463" s="9" t="s">
        <v>918</v>
      </c>
      <c r="O463" s="9" t="s">
        <v>1687</v>
      </c>
    </row>
    <row r="464" spans="1:15">
      <c r="A464" s="9" t="s">
        <v>6</v>
      </c>
      <c r="B464" s="9" t="s">
        <v>854</v>
      </c>
      <c r="C464" s="9" t="s">
        <v>415</v>
      </c>
      <c r="D464" s="9" t="s">
        <v>416</v>
      </c>
      <c r="E464" s="9" t="s">
        <v>1688</v>
      </c>
      <c r="F464" s="9" t="s">
        <v>47</v>
      </c>
      <c r="G464" s="9" t="s">
        <v>12</v>
      </c>
      <c r="H464" s="9" t="s">
        <v>49</v>
      </c>
      <c r="I464" s="9" t="s">
        <v>49</v>
      </c>
      <c r="J464" s="9" t="s">
        <v>48</v>
      </c>
      <c r="K464" s="9" t="s">
        <v>418</v>
      </c>
      <c r="L464" s="9" t="s">
        <v>415</v>
      </c>
      <c r="M464" s="9"/>
      <c r="N464" s="9"/>
      <c r="O464" s="9" t="s">
        <v>1689</v>
      </c>
    </row>
    <row r="465" spans="1:15">
      <c r="A465" s="9" t="s">
        <v>6</v>
      </c>
      <c r="B465" s="9" t="s">
        <v>854</v>
      </c>
      <c r="C465" s="9" t="s">
        <v>68</v>
      </c>
      <c r="D465" s="9" t="s">
        <v>68</v>
      </c>
      <c r="E465" s="9" t="s">
        <v>1690</v>
      </c>
      <c r="F465" s="9" t="s">
        <v>47</v>
      </c>
      <c r="G465" s="9" t="s">
        <v>12</v>
      </c>
      <c r="H465" s="9" t="s">
        <v>49</v>
      </c>
      <c r="I465" s="9" t="s">
        <v>49</v>
      </c>
      <c r="J465" s="9" t="s">
        <v>48</v>
      </c>
      <c r="K465" s="9" t="s">
        <v>554</v>
      </c>
      <c r="L465" s="9" t="s">
        <v>555</v>
      </c>
      <c r="M465" s="9" t="s">
        <v>422</v>
      </c>
      <c r="N465" s="9"/>
      <c r="O465" s="9" t="s">
        <v>1691</v>
      </c>
    </row>
    <row r="466" spans="1:15">
      <c r="A466" s="9" t="s">
        <v>6</v>
      </c>
      <c r="B466" s="9" t="s">
        <v>924</v>
      </c>
      <c r="C466" s="9" t="s">
        <v>925</v>
      </c>
      <c r="D466" s="9" t="s">
        <v>926</v>
      </c>
      <c r="E466" s="9" t="s">
        <v>1692</v>
      </c>
      <c r="F466" s="9" t="s">
        <v>928</v>
      </c>
      <c r="G466" s="9" t="s">
        <v>14</v>
      </c>
      <c r="H466" s="9" t="s">
        <v>49</v>
      </c>
      <c r="I466" s="9" t="s">
        <v>49</v>
      </c>
      <c r="J466" s="9" t="s">
        <v>48</v>
      </c>
      <c r="K466" s="9" t="s">
        <v>929</v>
      </c>
      <c r="L466" s="9" t="s">
        <v>930</v>
      </c>
      <c r="M466" s="9"/>
      <c r="N466" s="9"/>
      <c r="O466" s="9" t="s">
        <v>1693</v>
      </c>
    </row>
    <row r="467" spans="1:15">
      <c r="A467" s="9" t="s">
        <v>6</v>
      </c>
      <c r="B467" s="9" t="s">
        <v>924</v>
      </c>
      <c r="C467" s="9" t="s">
        <v>932</v>
      </c>
      <c r="D467" s="9" t="s">
        <v>933</v>
      </c>
      <c r="E467" s="9" t="s">
        <v>1694</v>
      </c>
      <c r="F467" s="9" t="s">
        <v>47</v>
      </c>
      <c r="G467" s="9" t="s">
        <v>12</v>
      </c>
      <c r="H467" s="9" t="s">
        <v>49</v>
      </c>
      <c r="I467" s="9" t="s">
        <v>49</v>
      </c>
      <c r="J467" s="9" t="s">
        <v>48</v>
      </c>
      <c r="K467" s="9" t="s">
        <v>115</v>
      </c>
      <c r="L467" s="9" t="s">
        <v>935</v>
      </c>
      <c r="M467" s="9"/>
      <c r="N467" s="9" t="s">
        <v>936</v>
      </c>
      <c r="O467" s="9" t="s">
        <v>1695</v>
      </c>
    </row>
    <row r="468" spans="1:15">
      <c r="A468" s="9" t="s">
        <v>6</v>
      </c>
      <c r="B468" s="9" t="s">
        <v>924</v>
      </c>
      <c r="C468" s="9" t="s">
        <v>891</v>
      </c>
      <c r="D468" s="9" t="s">
        <v>891</v>
      </c>
      <c r="E468" s="9" t="s">
        <v>1696</v>
      </c>
      <c r="F468" s="9" t="s">
        <v>274</v>
      </c>
      <c r="G468" s="9" t="s">
        <v>12</v>
      </c>
      <c r="H468" s="9" t="s">
        <v>49</v>
      </c>
      <c r="I468" s="9" t="s">
        <v>49</v>
      </c>
      <c r="J468" s="9" t="s">
        <v>48</v>
      </c>
      <c r="K468" s="9" t="s">
        <v>893</v>
      </c>
      <c r="L468" s="9" t="s">
        <v>939</v>
      </c>
      <c r="M468" s="9"/>
      <c r="N468" s="9" t="s">
        <v>110</v>
      </c>
      <c r="O468" s="9" t="s">
        <v>1697</v>
      </c>
    </row>
    <row r="469" spans="1:15">
      <c r="A469" s="9" t="s">
        <v>6</v>
      </c>
      <c r="B469" s="9" t="s">
        <v>924</v>
      </c>
      <c r="C469" s="9" t="s">
        <v>941</v>
      </c>
      <c r="D469" s="9" t="s">
        <v>942</v>
      </c>
      <c r="E469" s="9" t="s">
        <v>1698</v>
      </c>
      <c r="F469" s="9" t="s">
        <v>176</v>
      </c>
      <c r="G469" s="9" t="s">
        <v>16</v>
      </c>
      <c r="H469" s="9" t="s">
        <v>49</v>
      </c>
      <c r="I469" s="9" t="s">
        <v>48</v>
      </c>
      <c r="J469" s="9" t="s">
        <v>48</v>
      </c>
      <c r="K469" s="9" t="s">
        <v>50</v>
      </c>
      <c r="L469" s="9" t="s">
        <v>944</v>
      </c>
      <c r="M469" s="9"/>
      <c r="N469" s="9"/>
      <c r="O469" s="9" t="s">
        <v>1699</v>
      </c>
    </row>
    <row r="470" spans="1:15">
      <c r="A470" s="9" t="s">
        <v>6</v>
      </c>
      <c r="B470" s="9" t="s">
        <v>924</v>
      </c>
      <c r="C470" s="9" t="s">
        <v>946</v>
      </c>
      <c r="D470" s="9" t="s">
        <v>947</v>
      </c>
      <c r="E470" s="9" t="s">
        <v>1700</v>
      </c>
      <c r="F470" s="9" t="s">
        <v>47</v>
      </c>
      <c r="G470" s="9" t="s">
        <v>12</v>
      </c>
      <c r="H470" s="9" t="s">
        <v>49</v>
      </c>
      <c r="I470" s="9" t="s">
        <v>49</v>
      </c>
      <c r="J470" s="9" t="s">
        <v>48</v>
      </c>
      <c r="K470" s="9" t="s">
        <v>949</v>
      </c>
      <c r="L470" s="9" t="s">
        <v>950</v>
      </c>
      <c r="M470" s="9"/>
      <c r="N470" s="9" t="s">
        <v>951</v>
      </c>
      <c r="O470" s="9" t="s">
        <v>1701</v>
      </c>
    </row>
    <row r="471" spans="1:15">
      <c r="A471" s="9" t="s">
        <v>6</v>
      </c>
      <c r="B471" s="9" t="s">
        <v>924</v>
      </c>
      <c r="C471" s="9" t="s">
        <v>891</v>
      </c>
      <c r="D471" s="9" t="s">
        <v>891</v>
      </c>
      <c r="E471" s="9" t="s">
        <v>1702</v>
      </c>
      <c r="F471" s="9" t="s">
        <v>274</v>
      </c>
      <c r="G471" s="9" t="s">
        <v>12</v>
      </c>
      <c r="H471" s="9" t="s">
        <v>49</v>
      </c>
      <c r="I471" s="9" t="s">
        <v>49</v>
      </c>
      <c r="J471" s="9" t="s">
        <v>48</v>
      </c>
      <c r="K471" s="9" t="s">
        <v>893</v>
      </c>
      <c r="L471" s="9" t="s">
        <v>894</v>
      </c>
      <c r="M471" s="9"/>
      <c r="N471" s="9" t="s">
        <v>110</v>
      </c>
      <c r="O471" s="9" t="s">
        <v>1703</v>
      </c>
    </row>
    <row r="472" spans="1:15">
      <c r="A472" s="9" t="s">
        <v>6</v>
      </c>
      <c r="B472" s="9" t="s">
        <v>924</v>
      </c>
      <c r="C472" s="9" t="s">
        <v>955</v>
      </c>
      <c r="D472" s="9" t="s">
        <v>933</v>
      </c>
      <c r="E472" s="9" t="s">
        <v>1704</v>
      </c>
      <c r="F472" s="9" t="s">
        <v>47</v>
      </c>
      <c r="G472" s="9" t="s">
        <v>12</v>
      </c>
      <c r="H472" s="9" t="s">
        <v>49</v>
      </c>
      <c r="I472" s="9" t="s">
        <v>49</v>
      </c>
      <c r="J472" s="9" t="s">
        <v>48</v>
      </c>
      <c r="K472" s="9" t="s">
        <v>949</v>
      </c>
      <c r="L472" s="9" t="s">
        <v>957</v>
      </c>
      <c r="M472" s="9"/>
      <c r="N472" s="9" t="s">
        <v>936</v>
      </c>
      <c r="O472" s="9" t="s">
        <v>1705</v>
      </c>
    </row>
    <row r="473" spans="1:15">
      <c r="A473" s="9" t="s">
        <v>6</v>
      </c>
      <c r="B473" s="9" t="s">
        <v>924</v>
      </c>
      <c r="C473" s="9" t="s">
        <v>891</v>
      </c>
      <c r="D473" s="9" t="s">
        <v>891</v>
      </c>
      <c r="E473" s="9" t="s">
        <v>1706</v>
      </c>
      <c r="F473" s="9" t="s">
        <v>274</v>
      </c>
      <c r="G473" s="9" t="s">
        <v>12</v>
      </c>
      <c r="H473" s="9" t="s">
        <v>49</v>
      </c>
      <c r="I473" s="9" t="s">
        <v>49</v>
      </c>
      <c r="J473" s="9" t="s">
        <v>48</v>
      </c>
      <c r="K473" s="9" t="s">
        <v>893</v>
      </c>
      <c r="L473" s="9" t="s">
        <v>894</v>
      </c>
      <c r="M473" s="9"/>
      <c r="N473" s="9" t="s">
        <v>110</v>
      </c>
      <c r="O473" s="9" t="s">
        <v>1707</v>
      </c>
    </row>
    <row r="474" spans="1:15">
      <c r="A474" s="9" t="s">
        <v>6</v>
      </c>
      <c r="B474" s="9" t="s">
        <v>924</v>
      </c>
      <c r="C474" s="9" t="s">
        <v>961</v>
      </c>
      <c r="D474" s="9" t="s">
        <v>905</v>
      </c>
      <c r="E474" s="9" t="s">
        <v>1708</v>
      </c>
      <c r="F474" s="9" t="s">
        <v>47</v>
      </c>
      <c r="G474" s="9" t="s">
        <v>12</v>
      </c>
      <c r="H474" s="9" t="s">
        <v>49</v>
      </c>
      <c r="I474" s="9" t="s">
        <v>49</v>
      </c>
      <c r="J474" s="9" t="s">
        <v>48</v>
      </c>
      <c r="K474" s="9" t="s">
        <v>907</v>
      </c>
      <c r="L474" s="9" t="s">
        <v>961</v>
      </c>
      <c r="M474" s="9"/>
      <c r="N474" s="9"/>
      <c r="O474" s="9" t="s">
        <v>1709</v>
      </c>
    </row>
    <row r="475" spans="1:15">
      <c r="A475" s="9" t="s">
        <v>6</v>
      </c>
      <c r="B475" s="9" t="s">
        <v>924</v>
      </c>
      <c r="C475" s="9" t="s">
        <v>964</v>
      </c>
      <c r="D475" s="9" t="s">
        <v>68</v>
      </c>
      <c r="E475" s="9" t="s">
        <v>1710</v>
      </c>
      <c r="F475" s="9" t="s">
        <v>47</v>
      </c>
      <c r="G475" s="9" t="s">
        <v>12</v>
      </c>
      <c r="H475" s="9" t="s">
        <v>49</v>
      </c>
      <c r="I475" s="9" t="s">
        <v>49</v>
      </c>
      <c r="J475" s="9" t="s">
        <v>48</v>
      </c>
      <c r="K475" s="9" t="s">
        <v>907</v>
      </c>
      <c r="L475" s="9" t="s">
        <v>966</v>
      </c>
      <c r="M475" s="9"/>
      <c r="N475" s="9" t="s">
        <v>912</v>
      </c>
      <c r="O475" s="9" t="s">
        <v>1711</v>
      </c>
    </row>
    <row r="476" spans="1:15">
      <c r="A476" s="9" t="s">
        <v>6</v>
      </c>
      <c r="B476" s="9" t="s">
        <v>924</v>
      </c>
      <c r="C476" s="9" t="s">
        <v>968</v>
      </c>
      <c r="D476" s="9" t="s">
        <v>915</v>
      </c>
      <c r="E476" s="9" t="s">
        <v>1712</v>
      </c>
      <c r="F476" s="9" t="s">
        <v>83</v>
      </c>
      <c r="G476" s="9" t="s">
        <v>16</v>
      </c>
      <c r="H476" s="9" t="s">
        <v>49</v>
      </c>
      <c r="I476" s="9" t="s">
        <v>49</v>
      </c>
      <c r="J476" s="9" t="s">
        <v>48</v>
      </c>
      <c r="K476" s="9" t="s">
        <v>970</v>
      </c>
      <c r="L476" s="9" t="s">
        <v>971</v>
      </c>
      <c r="M476" s="9"/>
      <c r="N476" s="9" t="s">
        <v>918</v>
      </c>
      <c r="O476" s="9" t="s">
        <v>1713</v>
      </c>
    </row>
    <row r="477" spans="1:15">
      <c r="A477" s="9" t="s">
        <v>6</v>
      </c>
      <c r="B477" s="9" t="s">
        <v>924</v>
      </c>
      <c r="C477" s="9" t="s">
        <v>973</v>
      </c>
      <c r="D477" s="9" t="s">
        <v>974</v>
      </c>
      <c r="E477" s="9" t="s">
        <v>1714</v>
      </c>
      <c r="F477" s="9" t="s">
        <v>83</v>
      </c>
      <c r="G477" s="9" t="s">
        <v>16</v>
      </c>
      <c r="H477" s="9" t="s">
        <v>49</v>
      </c>
      <c r="I477" s="9" t="s">
        <v>49</v>
      </c>
      <c r="J477" s="9" t="s">
        <v>48</v>
      </c>
      <c r="K477" s="9" t="s">
        <v>880</v>
      </c>
      <c r="L477" s="9" t="s">
        <v>976</v>
      </c>
      <c r="M477" s="9"/>
      <c r="N477" s="9"/>
      <c r="O477" s="9" t="s">
        <v>1715</v>
      </c>
    </row>
    <row r="478" spans="1:15">
      <c r="A478" s="9" t="s">
        <v>6</v>
      </c>
      <c r="B478" s="9" t="s">
        <v>924</v>
      </c>
      <c r="C478" s="9" t="s">
        <v>978</v>
      </c>
      <c r="D478" s="9" t="s">
        <v>979</v>
      </c>
      <c r="E478" s="9" t="s">
        <v>1716</v>
      </c>
      <c r="F478" s="9" t="s">
        <v>83</v>
      </c>
      <c r="G478" s="9" t="s">
        <v>16</v>
      </c>
      <c r="H478" s="9" t="s">
        <v>49</v>
      </c>
      <c r="I478" s="9" t="s">
        <v>49</v>
      </c>
      <c r="J478" s="9" t="s">
        <v>48</v>
      </c>
      <c r="K478" s="9" t="s">
        <v>880</v>
      </c>
      <c r="L478" s="9" t="s">
        <v>981</v>
      </c>
      <c r="M478" s="9"/>
      <c r="N478" s="9" t="s">
        <v>982</v>
      </c>
      <c r="O478" s="9" t="s">
        <v>1717</v>
      </c>
    </row>
    <row r="479" spans="1:15">
      <c r="A479" s="9" t="s">
        <v>6</v>
      </c>
      <c r="B479" s="9" t="s">
        <v>924</v>
      </c>
      <c r="C479" s="9" t="s">
        <v>415</v>
      </c>
      <c r="D479" s="9" t="s">
        <v>416</v>
      </c>
      <c r="E479" s="9" t="s">
        <v>1718</v>
      </c>
      <c r="F479" s="9" t="s">
        <v>47</v>
      </c>
      <c r="G479" s="9" t="s">
        <v>12</v>
      </c>
      <c r="H479" s="9" t="s">
        <v>49</v>
      </c>
      <c r="I479" s="9" t="s">
        <v>49</v>
      </c>
      <c r="J479" s="9" t="s">
        <v>48</v>
      </c>
      <c r="K479" s="9" t="s">
        <v>418</v>
      </c>
      <c r="L479" s="9" t="s">
        <v>415</v>
      </c>
      <c r="M479" s="9"/>
      <c r="N479" s="9"/>
      <c r="O479" s="9" t="s">
        <v>1719</v>
      </c>
    </row>
    <row r="480" spans="1:15">
      <c r="A480" s="9" t="s">
        <v>6</v>
      </c>
      <c r="B480" s="9" t="s">
        <v>924</v>
      </c>
      <c r="C480" s="9" t="s">
        <v>68</v>
      </c>
      <c r="D480" s="9" t="s">
        <v>68</v>
      </c>
      <c r="E480" s="9" t="s">
        <v>1720</v>
      </c>
      <c r="F480" s="9" t="s">
        <v>47</v>
      </c>
      <c r="G480" s="9" t="s">
        <v>12</v>
      </c>
      <c r="H480" s="9" t="s">
        <v>49</v>
      </c>
      <c r="I480" s="9" t="s">
        <v>49</v>
      </c>
      <c r="J480" s="9" t="s">
        <v>48</v>
      </c>
      <c r="K480" s="9" t="s">
        <v>554</v>
      </c>
      <c r="L480" s="9" t="s">
        <v>555</v>
      </c>
      <c r="M480" s="9" t="s">
        <v>422</v>
      </c>
      <c r="N480" s="9"/>
      <c r="O480" s="9" t="s">
        <v>1721</v>
      </c>
    </row>
    <row r="481" spans="1:15">
      <c r="A481" s="9" t="s">
        <v>6</v>
      </c>
      <c r="B481" s="9" t="s">
        <v>988</v>
      </c>
      <c r="C481" s="9" t="s">
        <v>989</v>
      </c>
      <c r="D481" s="9" t="s">
        <v>990</v>
      </c>
      <c r="E481" s="9" t="s">
        <v>1722</v>
      </c>
      <c r="F481" s="9" t="s">
        <v>47</v>
      </c>
      <c r="G481" s="9" t="s">
        <v>10</v>
      </c>
      <c r="H481" s="9" t="s">
        <v>48</v>
      </c>
      <c r="I481" s="9" t="s">
        <v>49</v>
      </c>
      <c r="J481" s="9" t="s">
        <v>48</v>
      </c>
      <c r="K481" s="9" t="s">
        <v>50</v>
      </c>
      <c r="L481" s="9" t="s">
        <v>992</v>
      </c>
      <c r="M481" s="9"/>
      <c r="N481" s="9"/>
      <c r="O481" s="9" t="s">
        <v>1723</v>
      </c>
    </row>
    <row r="482" spans="1:15">
      <c r="A482" s="9" t="s">
        <v>6</v>
      </c>
      <c r="B482" s="9" t="s">
        <v>988</v>
      </c>
      <c r="C482" s="9" t="s">
        <v>994</v>
      </c>
      <c r="D482" s="9" t="s">
        <v>995</v>
      </c>
      <c r="E482" s="9" t="s">
        <v>1724</v>
      </c>
      <c r="F482" s="9" t="s">
        <v>47</v>
      </c>
      <c r="G482" s="9" t="s">
        <v>10</v>
      </c>
      <c r="H482" s="9" t="s">
        <v>48</v>
      </c>
      <c r="I482" s="9" t="s">
        <v>49</v>
      </c>
      <c r="J482" s="9" t="s">
        <v>48</v>
      </c>
      <c r="K482" s="9" t="s">
        <v>887</v>
      </c>
      <c r="L482" s="9" t="s">
        <v>997</v>
      </c>
      <c r="M482" s="9"/>
      <c r="N482" s="9" t="s">
        <v>998</v>
      </c>
      <c r="O482" s="9" t="s">
        <v>1725</v>
      </c>
    </row>
    <row r="483" spans="1:15">
      <c r="A483" s="9" t="s">
        <v>6</v>
      </c>
      <c r="B483" s="9" t="s">
        <v>988</v>
      </c>
      <c r="C483" s="9" t="s">
        <v>891</v>
      </c>
      <c r="D483" s="9" t="s">
        <v>891</v>
      </c>
      <c r="E483" s="9" t="s">
        <v>1726</v>
      </c>
      <c r="F483" s="9" t="s">
        <v>274</v>
      </c>
      <c r="G483" s="9" t="s">
        <v>10</v>
      </c>
      <c r="H483" s="9" t="s">
        <v>48</v>
      </c>
      <c r="I483" s="9" t="s">
        <v>49</v>
      </c>
      <c r="J483" s="9" t="s">
        <v>48</v>
      </c>
      <c r="K483" s="9" t="s">
        <v>893</v>
      </c>
      <c r="L483" s="9" t="s">
        <v>894</v>
      </c>
      <c r="M483" s="9"/>
      <c r="N483" s="9" t="s">
        <v>110</v>
      </c>
      <c r="O483" s="9" t="s">
        <v>1727</v>
      </c>
    </row>
    <row r="484" spans="1:15">
      <c r="A484" s="9" t="s">
        <v>6</v>
      </c>
      <c r="B484" s="9" t="s">
        <v>988</v>
      </c>
      <c r="C484" s="9" t="s">
        <v>1002</v>
      </c>
      <c r="D484" s="9" t="s">
        <v>1003</v>
      </c>
      <c r="E484" s="9" t="s">
        <v>1728</v>
      </c>
      <c r="F484" s="9" t="s">
        <v>47</v>
      </c>
      <c r="G484" s="9" t="s">
        <v>10</v>
      </c>
      <c r="H484" s="9" t="s">
        <v>48</v>
      </c>
      <c r="I484" s="9" t="s">
        <v>49</v>
      </c>
      <c r="J484" s="9" t="s">
        <v>48</v>
      </c>
      <c r="K484" s="9" t="s">
        <v>887</v>
      </c>
      <c r="L484" s="9" t="s">
        <v>1005</v>
      </c>
      <c r="M484" s="9"/>
      <c r="N484" s="9" t="s">
        <v>1006</v>
      </c>
      <c r="O484" s="9" t="s">
        <v>1729</v>
      </c>
    </row>
    <row r="485" spans="1:15">
      <c r="A485" s="9" t="s">
        <v>6</v>
      </c>
      <c r="B485" s="9" t="s">
        <v>988</v>
      </c>
      <c r="C485" s="9" t="s">
        <v>891</v>
      </c>
      <c r="D485" s="9" t="s">
        <v>891</v>
      </c>
      <c r="E485" s="9" t="s">
        <v>1730</v>
      </c>
      <c r="F485" s="9" t="s">
        <v>274</v>
      </c>
      <c r="G485" s="9" t="s">
        <v>10</v>
      </c>
      <c r="H485" s="9" t="s">
        <v>48</v>
      </c>
      <c r="I485" s="9" t="s">
        <v>49</v>
      </c>
      <c r="J485" s="9" t="s">
        <v>48</v>
      </c>
      <c r="K485" s="9" t="s">
        <v>893</v>
      </c>
      <c r="L485" s="9" t="s">
        <v>894</v>
      </c>
      <c r="M485" s="9"/>
      <c r="N485" s="9" t="s">
        <v>110</v>
      </c>
      <c r="O485" s="9" t="s">
        <v>1731</v>
      </c>
    </row>
    <row r="486" spans="1:15">
      <c r="A486" s="9" t="s">
        <v>6</v>
      </c>
      <c r="B486" s="9" t="s">
        <v>988</v>
      </c>
      <c r="C486" s="9" t="s">
        <v>1010</v>
      </c>
      <c r="D486" s="9" t="s">
        <v>1011</v>
      </c>
      <c r="E486" s="9" t="s">
        <v>1732</v>
      </c>
      <c r="F486" s="9" t="s">
        <v>47</v>
      </c>
      <c r="G486" s="9" t="s">
        <v>10</v>
      </c>
      <c r="H486" s="9" t="s">
        <v>48</v>
      </c>
      <c r="I486" s="9" t="s">
        <v>49</v>
      </c>
      <c r="J486" s="9" t="s">
        <v>48</v>
      </c>
      <c r="K486" s="9" t="s">
        <v>887</v>
      </c>
      <c r="L486" s="9" t="s">
        <v>1013</v>
      </c>
      <c r="M486" s="9"/>
      <c r="N486" s="9" t="s">
        <v>1014</v>
      </c>
      <c r="O486" s="9" t="s">
        <v>1733</v>
      </c>
    </row>
    <row r="487" spans="1:15">
      <c r="A487" s="9" t="s">
        <v>6</v>
      </c>
      <c r="B487" s="9" t="s">
        <v>988</v>
      </c>
      <c r="C487" s="9" t="s">
        <v>891</v>
      </c>
      <c r="D487" s="9" t="s">
        <v>891</v>
      </c>
      <c r="E487" s="9" t="s">
        <v>1734</v>
      </c>
      <c r="F487" s="9" t="s">
        <v>274</v>
      </c>
      <c r="G487" s="9" t="s">
        <v>10</v>
      </c>
      <c r="H487" s="9" t="s">
        <v>48</v>
      </c>
      <c r="I487" s="9" t="s">
        <v>49</v>
      </c>
      <c r="J487" s="9" t="s">
        <v>48</v>
      </c>
      <c r="K487" s="9" t="s">
        <v>893</v>
      </c>
      <c r="L487" s="9" t="s">
        <v>894</v>
      </c>
      <c r="M487" s="9"/>
      <c r="N487" s="9" t="s">
        <v>110</v>
      </c>
      <c r="O487" s="9" t="s">
        <v>1735</v>
      </c>
    </row>
    <row r="488" spans="1:15">
      <c r="A488" s="9" t="s">
        <v>6</v>
      </c>
      <c r="B488" s="9" t="s">
        <v>988</v>
      </c>
      <c r="C488" s="9" t="s">
        <v>1018</v>
      </c>
      <c r="D488" s="9" t="s">
        <v>1019</v>
      </c>
      <c r="E488" s="9" t="s">
        <v>1736</v>
      </c>
      <c r="F488" s="9" t="s">
        <v>83</v>
      </c>
      <c r="G488" s="9" t="s">
        <v>16</v>
      </c>
      <c r="H488" s="9" t="s">
        <v>49</v>
      </c>
      <c r="I488" s="9" t="s">
        <v>49</v>
      </c>
      <c r="J488" s="9" t="s">
        <v>48</v>
      </c>
      <c r="K488" s="9" t="s">
        <v>887</v>
      </c>
      <c r="L488" s="9" t="s">
        <v>1021</v>
      </c>
      <c r="M488" s="9"/>
      <c r="N488" s="9" t="s">
        <v>1022</v>
      </c>
      <c r="O488" s="9" t="s">
        <v>1737</v>
      </c>
    </row>
    <row r="489" spans="1:15">
      <c r="A489" s="9" t="s">
        <v>6</v>
      </c>
      <c r="B489" s="9" t="s">
        <v>988</v>
      </c>
      <c r="C489" s="9" t="s">
        <v>891</v>
      </c>
      <c r="D489" s="9" t="s">
        <v>891</v>
      </c>
      <c r="E489" s="9" t="s">
        <v>1738</v>
      </c>
      <c r="F489" s="9" t="s">
        <v>274</v>
      </c>
      <c r="G489" s="9" t="s">
        <v>12</v>
      </c>
      <c r="H489" s="9" t="s">
        <v>49</v>
      </c>
      <c r="I489" s="9" t="s">
        <v>49</v>
      </c>
      <c r="J489" s="9" t="s">
        <v>48</v>
      </c>
      <c r="K489" s="9" t="s">
        <v>893</v>
      </c>
      <c r="L489" s="9" t="s">
        <v>894</v>
      </c>
      <c r="M489" s="9"/>
      <c r="N489" s="9" t="s">
        <v>110</v>
      </c>
      <c r="O489" s="9" t="s">
        <v>1739</v>
      </c>
    </row>
    <row r="490" spans="1:15">
      <c r="A490" s="9" t="s">
        <v>6</v>
      </c>
      <c r="B490" s="9" t="s">
        <v>988</v>
      </c>
      <c r="C490" s="9" t="s">
        <v>1026</v>
      </c>
      <c r="D490" s="9" t="s">
        <v>1027</v>
      </c>
      <c r="E490" s="9" t="s">
        <v>1740</v>
      </c>
      <c r="F490" s="9" t="s">
        <v>83</v>
      </c>
      <c r="G490" s="9" t="s">
        <v>16</v>
      </c>
      <c r="H490" s="9" t="s">
        <v>49</v>
      </c>
      <c r="I490" s="9" t="s">
        <v>49</v>
      </c>
      <c r="J490" s="9" t="s">
        <v>48</v>
      </c>
      <c r="K490" s="9" t="s">
        <v>887</v>
      </c>
      <c r="L490" s="9" t="s">
        <v>1029</v>
      </c>
      <c r="M490" s="9"/>
      <c r="N490" s="9" t="s">
        <v>1030</v>
      </c>
      <c r="O490" s="9" t="s">
        <v>1741</v>
      </c>
    </row>
    <row r="491" spans="1:15">
      <c r="A491" s="9" t="s">
        <v>6</v>
      </c>
      <c r="B491" s="9" t="s">
        <v>988</v>
      </c>
      <c r="C491" s="9" t="s">
        <v>891</v>
      </c>
      <c r="D491" s="9" t="s">
        <v>891</v>
      </c>
      <c r="E491" s="9" t="s">
        <v>1742</v>
      </c>
      <c r="F491" s="9" t="s">
        <v>274</v>
      </c>
      <c r="G491" s="9" t="s">
        <v>12</v>
      </c>
      <c r="H491" s="9" t="s">
        <v>49</v>
      </c>
      <c r="I491" s="9" t="s">
        <v>49</v>
      </c>
      <c r="J491" s="9" t="s">
        <v>48</v>
      </c>
      <c r="K491" s="9" t="s">
        <v>893</v>
      </c>
      <c r="L491" s="9" t="s">
        <v>894</v>
      </c>
      <c r="M491" s="9"/>
      <c r="N491" s="9" t="s">
        <v>110</v>
      </c>
      <c r="O491" s="9" t="s">
        <v>1743</v>
      </c>
    </row>
    <row r="492" spans="1:15">
      <c r="A492" s="9" t="s">
        <v>6</v>
      </c>
      <c r="B492" s="9" t="s">
        <v>988</v>
      </c>
      <c r="C492" s="9" t="s">
        <v>1034</v>
      </c>
      <c r="D492" s="9" t="s">
        <v>1035</v>
      </c>
      <c r="E492" s="9" t="s">
        <v>1744</v>
      </c>
      <c r="F492" s="9" t="s">
        <v>83</v>
      </c>
      <c r="G492" s="9" t="s">
        <v>16</v>
      </c>
      <c r="H492" s="9" t="s">
        <v>49</v>
      </c>
      <c r="I492" s="9" t="s">
        <v>49</v>
      </c>
      <c r="J492" s="9" t="s">
        <v>48</v>
      </c>
      <c r="K492" s="9" t="s">
        <v>887</v>
      </c>
      <c r="L492" s="9" t="s">
        <v>1037</v>
      </c>
      <c r="M492" s="9"/>
      <c r="N492" s="9" t="s">
        <v>1038</v>
      </c>
      <c r="O492" s="9" t="s">
        <v>1745</v>
      </c>
    </row>
    <row r="493" spans="1:15">
      <c r="A493" s="9" t="s">
        <v>6</v>
      </c>
      <c r="B493" s="9" t="s">
        <v>988</v>
      </c>
      <c r="C493" s="9" t="s">
        <v>891</v>
      </c>
      <c r="D493" s="9" t="s">
        <v>891</v>
      </c>
      <c r="E493" s="9" t="s">
        <v>1746</v>
      </c>
      <c r="F493" s="9" t="s">
        <v>274</v>
      </c>
      <c r="G493" s="9" t="s">
        <v>12</v>
      </c>
      <c r="H493" s="9" t="s">
        <v>49</v>
      </c>
      <c r="I493" s="9" t="s">
        <v>49</v>
      </c>
      <c r="J493" s="9" t="s">
        <v>48</v>
      </c>
      <c r="K493" s="9" t="s">
        <v>893</v>
      </c>
      <c r="L493" s="9" t="s">
        <v>894</v>
      </c>
      <c r="M493" s="9"/>
      <c r="N493" s="9" t="s">
        <v>110</v>
      </c>
      <c r="O493" s="9" t="s">
        <v>1747</v>
      </c>
    </row>
    <row r="494" spans="1:15">
      <c r="A494" s="9" t="s">
        <v>6</v>
      </c>
      <c r="B494" s="9" t="s">
        <v>988</v>
      </c>
      <c r="C494" s="9" t="s">
        <v>1042</v>
      </c>
      <c r="D494" s="9" t="s">
        <v>1043</v>
      </c>
      <c r="E494" s="9" t="s">
        <v>1748</v>
      </c>
      <c r="F494" s="9" t="s">
        <v>83</v>
      </c>
      <c r="G494" s="9" t="s">
        <v>16</v>
      </c>
      <c r="H494" s="9" t="s">
        <v>49</v>
      </c>
      <c r="I494" s="9" t="s">
        <v>49</v>
      </c>
      <c r="J494" s="9" t="s">
        <v>48</v>
      </c>
      <c r="K494" s="9" t="s">
        <v>887</v>
      </c>
      <c r="L494" s="9" t="s">
        <v>1045</v>
      </c>
      <c r="M494" s="9"/>
      <c r="N494" s="9" t="s">
        <v>1030</v>
      </c>
      <c r="O494" s="9" t="s">
        <v>1749</v>
      </c>
    </row>
    <row r="495" spans="1:15">
      <c r="A495" s="9" t="s">
        <v>6</v>
      </c>
      <c r="B495" s="9" t="s">
        <v>988</v>
      </c>
      <c r="C495" s="9" t="s">
        <v>891</v>
      </c>
      <c r="D495" s="9" t="s">
        <v>891</v>
      </c>
      <c r="E495" s="9" t="s">
        <v>1750</v>
      </c>
      <c r="F495" s="9" t="s">
        <v>274</v>
      </c>
      <c r="G495" s="9" t="s">
        <v>12</v>
      </c>
      <c r="H495" s="9" t="s">
        <v>49</v>
      </c>
      <c r="I495" s="9" t="s">
        <v>49</v>
      </c>
      <c r="J495" s="9" t="s">
        <v>48</v>
      </c>
      <c r="K495" s="9" t="s">
        <v>893</v>
      </c>
      <c r="L495" s="9" t="s">
        <v>894</v>
      </c>
      <c r="M495" s="9"/>
      <c r="N495" s="9" t="s">
        <v>110</v>
      </c>
      <c r="O495" s="9" t="s">
        <v>1751</v>
      </c>
    </row>
    <row r="496" spans="1:15">
      <c r="A496" s="9" t="s">
        <v>6</v>
      </c>
      <c r="B496" s="9" t="s">
        <v>988</v>
      </c>
      <c r="C496" s="9" t="s">
        <v>1049</v>
      </c>
      <c r="D496" s="9" t="s">
        <v>1050</v>
      </c>
      <c r="E496" s="9" t="s">
        <v>1752</v>
      </c>
      <c r="F496" s="9" t="s">
        <v>47</v>
      </c>
      <c r="G496" s="9" t="s">
        <v>10</v>
      </c>
      <c r="H496" s="9" t="s">
        <v>48</v>
      </c>
      <c r="I496" s="9" t="s">
        <v>49</v>
      </c>
      <c r="J496" s="9" t="s">
        <v>48</v>
      </c>
      <c r="K496" s="9" t="s">
        <v>887</v>
      </c>
      <c r="L496" s="9" t="s">
        <v>1052</v>
      </c>
      <c r="M496" s="9"/>
      <c r="N496" s="9" t="s">
        <v>1053</v>
      </c>
      <c r="O496" s="9" t="s">
        <v>1753</v>
      </c>
    </row>
    <row r="497" spans="1:15">
      <c r="A497" s="9" t="s">
        <v>6</v>
      </c>
      <c r="B497" s="9" t="s">
        <v>988</v>
      </c>
      <c r="C497" s="9" t="s">
        <v>891</v>
      </c>
      <c r="D497" s="9" t="s">
        <v>891</v>
      </c>
      <c r="E497" s="9" t="s">
        <v>1754</v>
      </c>
      <c r="F497" s="9" t="s">
        <v>274</v>
      </c>
      <c r="G497" s="9" t="s">
        <v>10</v>
      </c>
      <c r="H497" s="9" t="s">
        <v>48</v>
      </c>
      <c r="I497" s="9" t="s">
        <v>49</v>
      </c>
      <c r="J497" s="9" t="s">
        <v>48</v>
      </c>
      <c r="K497" s="9" t="s">
        <v>893</v>
      </c>
      <c r="L497" s="9" t="s">
        <v>894</v>
      </c>
      <c r="M497" s="9"/>
      <c r="N497" s="9" t="s">
        <v>110</v>
      </c>
      <c r="O497" s="9" t="s">
        <v>1755</v>
      </c>
    </row>
    <row r="498" spans="1:15">
      <c r="A498" s="9" t="s">
        <v>6</v>
      </c>
      <c r="B498" s="9" t="s">
        <v>1756</v>
      </c>
      <c r="C498" s="9" t="s">
        <v>1058</v>
      </c>
      <c r="D498" s="9" t="s">
        <v>1757</v>
      </c>
      <c r="E498" s="9" t="s">
        <v>1758</v>
      </c>
      <c r="F498" s="9" t="s">
        <v>1061</v>
      </c>
      <c r="G498" s="9" t="s">
        <v>10</v>
      </c>
      <c r="H498" s="9" t="s">
        <v>48</v>
      </c>
      <c r="I498" s="9" t="s">
        <v>48</v>
      </c>
      <c r="J498" s="9" t="s">
        <v>48</v>
      </c>
      <c r="K498" s="9" t="s">
        <v>50</v>
      </c>
      <c r="L498" s="9" t="s">
        <v>1062</v>
      </c>
      <c r="M498" s="9"/>
      <c r="N498" s="9"/>
      <c r="O498" s="9" t="s">
        <v>1759</v>
      </c>
    </row>
    <row r="499" spans="1:15">
      <c r="A499" s="9" t="s">
        <v>6</v>
      </c>
      <c r="B499" s="9" t="s">
        <v>1756</v>
      </c>
      <c r="C499" s="9" t="s">
        <v>1064</v>
      </c>
      <c r="D499" s="9" t="s">
        <v>68</v>
      </c>
      <c r="E499" s="9" t="s">
        <v>1760</v>
      </c>
      <c r="F499" s="9" t="s">
        <v>47</v>
      </c>
      <c r="G499" s="9" t="s">
        <v>10</v>
      </c>
      <c r="H499" s="9" t="s">
        <v>48</v>
      </c>
      <c r="I499" s="9" t="s">
        <v>49</v>
      </c>
      <c r="J499" s="9" t="s">
        <v>48</v>
      </c>
      <c r="K499" s="9" t="s">
        <v>50</v>
      </c>
      <c r="L499" s="9" t="s">
        <v>1066</v>
      </c>
      <c r="M499" s="9"/>
      <c r="N499" s="9" t="s">
        <v>1067</v>
      </c>
      <c r="O499" s="9" t="s">
        <v>1761</v>
      </c>
    </row>
    <row r="500" spans="1:15">
      <c r="A500" s="9" t="s">
        <v>6</v>
      </c>
      <c r="B500" s="9" t="s">
        <v>1756</v>
      </c>
      <c r="C500" s="9" t="s">
        <v>1069</v>
      </c>
      <c r="D500" s="9" t="s">
        <v>95</v>
      </c>
      <c r="E500" s="9" t="s">
        <v>1762</v>
      </c>
      <c r="F500" s="9" t="s">
        <v>83</v>
      </c>
      <c r="G500" s="9" t="s">
        <v>16</v>
      </c>
      <c r="H500" s="9" t="s">
        <v>49</v>
      </c>
      <c r="I500" s="9" t="s">
        <v>49</v>
      </c>
      <c r="J500" s="9" t="s">
        <v>48</v>
      </c>
      <c r="K500" s="9" t="s">
        <v>50</v>
      </c>
      <c r="L500" s="9" t="s">
        <v>1071</v>
      </c>
      <c r="M500" s="9"/>
      <c r="N500" s="9" t="s">
        <v>1072</v>
      </c>
      <c r="O500" s="9" t="s">
        <v>1763</v>
      </c>
    </row>
    <row r="501" spans="1:15">
      <c r="A501" s="9" t="s">
        <v>6</v>
      </c>
      <c r="B501" s="9" t="s">
        <v>1756</v>
      </c>
      <c r="C501" s="9" t="s">
        <v>1074</v>
      </c>
      <c r="D501" s="9" t="s">
        <v>1764</v>
      </c>
      <c r="E501" s="9" t="s">
        <v>1765</v>
      </c>
      <c r="F501" s="9" t="s">
        <v>47</v>
      </c>
      <c r="G501" s="9" t="s">
        <v>10</v>
      </c>
      <c r="H501" s="9" t="s">
        <v>48</v>
      </c>
      <c r="I501" s="9" t="s">
        <v>49</v>
      </c>
      <c r="J501" s="9" t="s">
        <v>48</v>
      </c>
      <c r="K501" s="9" t="s">
        <v>880</v>
      </c>
      <c r="L501" s="9" t="s">
        <v>1077</v>
      </c>
      <c r="M501" s="9"/>
      <c r="N501" s="9" t="s">
        <v>1766</v>
      </c>
      <c r="O501" s="9" t="s">
        <v>1767</v>
      </c>
    </row>
    <row r="502" spans="1:15">
      <c r="A502" s="9" t="s">
        <v>6</v>
      </c>
      <c r="B502" s="9" t="s">
        <v>1756</v>
      </c>
      <c r="C502" s="9" t="s">
        <v>1080</v>
      </c>
      <c r="D502" s="9" t="s">
        <v>1081</v>
      </c>
      <c r="E502" s="9" t="s">
        <v>1768</v>
      </c>
      <c r="F502" s="9" t="s">
        <v>274</v>
      </c>
      <c r="G502" s="9" t="s">
        <v>10</v>
      </c>
      <c r="H502" s="9" t="s">
        <v>48</v>
      </c>
      <c r="I502" s="9" t="s">
        <v>49</v>
      </c>
      <c r="J502" s="9" t="s">
        <v>48</v>
      </c>
      <c r="K502" s="9" t="s">
        <v>1083</v>
      </c>
      <c r="L502" s="9" t="s">
        <v>1084</v>
      </c>
      <c r="M502" s="9"/>
      <c r="N502" s="9" t="s">
        <v>1085</v>
      </c>
      <c r="O502" s="9" t="s">
        <v>1769</v>
      </c>
    </row>
    <row r="503" spans="1:15">
      <c r="A503" s="9" t="s">
        <v>6</v>
      </c>
      <c r="B503" s="9" t="s">
        <v>1756</v>
      </c>
      <c r="C503" s="9" t="s">
        <v>1087</v>
      </c>
      <c r="D503" s="9" t="s">
        <v>995</v>
      </c>
      <c r="E503" s="9" t="s">
        <v>1770</v>
      </c>
      <c r="F503" s="9" t="s">
        <v>47</v>
      </c>
      <c r="G503" s="9" t="s">
        <v>10</v>
      </c>
      <c r="H503" s="9" t="s">
        <v>48</v>
      </c>
      <c r="I503" s="9" t="s">
        <v>49</v>
      </c>
      <c r="J503" s="9" t="s">
        <v>48</v>
      </c>
      <c r="K503" s="9" t="s">
        <v>887</v>
      </c>
      <c r="L503" s="9" t="s">
        <v>1089</v>
      </c>
      <c r="M503" s="9"/>
      <c r="N503" s="9" t="s">
        <v>1771</v>
      </c>
      <c r="O503" s="9" t="s">
        <v>1772</v>
      </c>
    </row>
    <row r="504" spans="1:15">
      <c r="A504" s="9" t="s">
        <v>6</v>
      </c>
      <c r="B504" s="9" t="s">
        <v>1756</v>
      </c>
      <c r="C504" s="9" t="s">
        <v>891</v>
      </c>
      <c r="D504" s="9" t="s">
        <v>891</v>
      </c>
      <c r="E504" s="9" t="s">
        <v>1773</v>
      </c>
      <c r="F504" s="9" t="s">
        <v>274</v>
      </c>
      <c r="G504" s="9" t="s">
        <v>10</v>
      </c>
      <c r="H504" s="9" t="s">
        <v>48</v>
      </c>
      <c r="I504" s="9" t="s">
        <v>49</v>
      </c>
      <c r="J504" s="9" t="s">
        <v>48</v>
      </c>
      <c r="K504" s="9" t="s">
        <v>893</v>
      </c>
      <c r="L504" s="9" t="s">
        <v>894</v>
      </c>
      <c r="M504" s="9"/>
      <c r="N504" s="9" t="s">
        <v>110</v>
      </c>
      <c r="O504" s="9" t="s">
        <v>1774</v>
      </c>
    </row>
    <row r="505" spans="1:15">
      <c r="A505" s="9" t="s">
        <v>6</v>
      </c>
      <c r="B505" s="9" t="s">
        <v>1756</v>
      </c>
      <c r="C505" s="9" t="s">
        <v>1094</v>
      </c>
      <c r="D505" s="9" t="s">
        <v>120</v>
      </c>
      <c r="E505" s="9" t="s">
        <v>1775</v>
      </c>
      <c r="F505" s="9" t="s">
        <v>83</v>
      </c>
      <c r="G505" s="9" t="s">
        <v>16</v>
      </c>
      <c r="H505" s="9" t="s">
        <v>49</v>
      </c>
      <c r="I505" s="9" t="s">
        <v>49</v>
      </c>
      <c r="J505" s="9" t="s">
        <v>48</v>
      </c>
      <c r="K505" s="9" t="s">
        <v>50</v>
      </c>
      <c r="L505" s="9" t="s">
        <v>122</v>
      </c>
      <c r="M505" s="9"/>
      <c r="N505" s="9" t="s">
        <v>1096</v>
      </c>
      <c r="O505" s="9" t="s">
        <v>1776</v>
      </c>
    </row>
    <row r="506" spans="1:15">
      <c r="A506" s="9" t="s">
        <v>6</v>
      </c>
      <c r="B506" s="9" t="s">
        <v>1756</v>
      </c>
      <c r="C506" s="9" t="s">
        <v>1098</v>
      </c>
      <c r="D506" s="9" t="s">
        <v>134</v>
      </c>
      <c r="E506" s="9" t="s">
        <v>1777</v>
      </c>
      <c r="F506" s="9" t="s">
        <v>83</v>
      </c>
      <c r="G506" s="9" t="s">
        <v>16</v>
      </c>
      <c r="H506" s="9" t="s">
        <v>49</v>
      </c>
      <c r="I506" s="9" t="s">
        <v>49</v>
      </c>
      <c r="J506" s="9" t="s">
        <v>48</v>
      </c>
      <c r="K506" s="9" t="s">
        <v>50</v>
      </c>
      <c r="L506" s="9" t="s">
        <v>1100</v>
      </c>
      <c r="M506" s="9"/>
      <c r="N506" s="9"/>
      <c r="O506" s="9" t="s">
        <v>1778</v>
      </c>
    </row>
    <row r="507" spans="1:15">
      <c r="A507" s="9" t="s">
        <v>6</v>
      </c>
      <c r="B507" s="9" t="s">
        <v>1756</v>
      </c>
      <c r="C507" s="9" t="s">
        <v>1102</v>
      </c>
      <c r="D507" s="9" t="s">
        <v>140</v>
      </c>
      <c r="E507" s="9" t="s">
        <v>1779</v>
      </c>
      <c r="F507" s="9" t="s">
        <v>83</v>
      </c>
      <c r="G507" s="9" t="s">
        <v>16</v>
      </c>
      <c r="H507" s="9" t="s">
        <v>49</v>
      </c>
      <c r="I507" s="9" t="s">
        <v>49</v>
      </c>
      <c r="J507" s="9" t="s">
        <v>48</v>
      </c>
      <c r="K507" s="9" t="s">
        <v>76</v>
      </c>
      <c r="L507" s="9" t="s">
        <v>1104</v>
      </c>
      <c r="M507" s="9"/>
      <c r="N507" s="9" t="s">
        <v>1105</v>
      </c>
      <c r="O507" s="9" t="s">
        <v>1780</v>
      </c>
    </row>
    <row r="508" spans="1:15">
      <c r="A508" s="9" t="s">
        <v>6</v>
      </c>
      <c r="B508" s="9" t="s">
        <v>1756</v>
      </c>
      <c r="C508" s="9" t="s">
        <v>1107</v>
      </c>
      <c r="D508" s="9" t="s">
        <v>146</v>
      </c>
      <c r="E508" s="9" t="s">
        <v>1781</v>
      </c>
      <c r="F508" s="9" t="s">
        <v>83</v>
      </c>
      <c r="G508" s="9" t="s">
        <v>16</v>
      </c>
      <c r="H508" s="9" t="s">
        <v>49</v>
      </c>
      <c r="I508" s="9" t="s">
        <v>49</v>
      </c>
      <c r="J508" s="9" t="s">
        <v>48</v>
      </c>
      <c r="K508" s="9" t="s">
        <v>76</v>
      </c>
      <c r="L508" s="9" t="s">
        <v>1109</v>
      </c>
      <c r="M508" s="9"/>
      <c r="N508" s="9" t="s">
        <v>1110</v>
      </c>
      <c r="O508" s="9" t="s">
        <v>1782</v>
      </c>
    </row>
    <row r="509" spans="1:15">
      <c r="A509" s="9" t="s">
        <v>6</v>
      </c>
      <c r="B509" s="9" t="s">
        <v>1756</v>
      </c>
      <c r="C509" s="9" t="s">
        <v>1112</v>
      </c>
      <c r="D509" s="9" t="s">
        <v>1113</v>
      </c>
      <c r="E509" s="9" t="s">
        <v>1783</v>
      </c>
      <c r="F509" s="9" t="s">
        <v>83</v>
      </c>
      <c r="G509" s="9" t="s">
        <v>16</v>
      </c>
      <c r="H509" s="9" t="s">
        <v>49</v>
      </c>
      <c r="I509" s="9" t="s">
        <v>49</v>
      </c>
      <c r="J509" s="9" t="s">
        <v>48</v>
      </c>
      <c r="K509" s="9" t="s">
        <v>50</v>
      </c>
      <c r="L509" s="9" t="s">
        <v>1112</v>
      </c>
      <c r="M509" s="9"/>
      <c r="N509" s="9"/>
      <c r="O509" s="9" t="s">
        <v>1784</v>
      </c>
    </row>
    <row r="510" spans="1:15">
      <c r="A510" s="9" t="s">
        <v>6</v>
      </c>
      <c r="B510" s="9" t="s">
        <v>1756</v>
      </c>
      <c r="C510" s="9" t="s">
        <v>1116</v>
      </c>
      <c r="D510" s="9" t="s">
        <v>1117</v>
      </c>
      <c r="E510" s="9" t="s">
        <v>1785</v>
      </c>
      <c r="F510" s="9" t="s">
        <v>47</v>
      </c>
      <c r="G510" s="9" t="s">
        <v>12</v>
      </c>
      <c r="H510" s="9" t="s">
        <v>49</v>
      </c>
      <c r="I510" s="9" t="s">
        <v>49</v>
      </c>
      <c r="J510" s="9" t="s">
        <v>48</v>
      </c>
      <c r="K510" s="9" t="s">
        <v>50</v>
      </c>
      <c r="L510" s="9" t="s">
        <v>1119</v>
      </c>
      <c r="M510" s="9"/>
      <c r="N510" s="9" t="s">
        <v>23</v>
      </c>
      <c r="O510" s="9" t="s">
        <v>1786</v>
      </c>
    </row>
    <row r="511" spans="1:15">
      <c r="A511" s="9" t="s">
        <v>6</v>
      </c>
      <c r="B511" s="9" t="s">
        <v>1756</v>
      </c>
      <c r="C511" s="9" t="s">
        <v>1121</v>
      </c>
      <c r="D511" s="9" t="s">
        <v>1122</v>
      </c>
      <c r="E511" s="9" t="s">
        <v>1787</v>
      </c>
      <c r="F511" s="9" t="s">
        <v>83</v>
      </c>
      <c r="G511" s="9" t="s">
        <v>16</v>
      </c>
      <c r="H511" s="9" t="s">
        <v>49</v>
      </c>
      <c r="I511" s="9" t="s">
        <v>49</v>
      </c>
      <c r="J511" s="9" t="s">
        <v>48</v>
      </c>
      <c r="K511" s="9" t="s">
        <v>50</v>
      </c>
      <c r="L511" s="9" t="s">
        <v>1121</v>
      </c>
      <c r="M511" s="9"/>
      <c r="N511" s="9"/>
      <c r="O511" s="9" t="s">
        <v>1788</v>
      </c>
    </row>
    <row r="512" spans="1:15">
      <c r="A512" s="9" t="s">
        <v>6</v>
      </c>
      <c r="B512" s="9" t="s">
        <v>1756</v>
      </c>
      <c r="C512" s="9" t="s">
        <v>1125</v>
      </c>
      <c r="D512" s="9" t="s">
        <v>68</v>
      </c>
      <c r="E512" s="9" t="s">
        <v>1789</v>
      </c>
      <c r="F512" s="9" t="s">
        <v>47</v>
      </c>
      <c r="G512" s="9" t="s">
        <v>12</v>
      </c>
      <c r="H512" s="9" t="s">
        <v>49</v>
      </c>
      <c r="I512" s="9" t="s">
        <v>49</v>
      </c>
      <c r="J512" s="9" t="s">
        <v>48</v>
      </c>
      <c r="K512" s="9" t="s">
        <v>50</v>
      </c>
      <c r="L512" s="9" t="s">
        <v>1127</v>
      </c>
      <c r="M512" s="9"/>
      <c r="N512" s="9" t="s">
        <v>1790</v>
      </c>
      <c r="O512" s="9" t="s">
        <v>1791</v>
      </c>
    </row>
    <row r="513" spans="1:15">
      <c r="A513" s="9" t="s">
        <v>6</v>
      </c>
      <c r="B513" s="9" t="s">
        <v>1756</v>
      </c>
      <c r="C513" s="9" t="s">
        <v>1130</v>
      </c>
      <c r="D513" s="9" t="s">
        <v>241</v>
      </c>
      <c r="E513" s="9" t="s">
        <v>1792</v>
      </c>
      <c r="F513" s="9" t="s">
        <v>243</v>
      </c>
      <c r="G513" s="9" t="s">
        <v>16</v>
      </c>
      <c r="H513" s="9" t="s">
        <v>49</v>
      </c>
      <c r="I513" s="9" t="s">
        <v>49</v>
      </c>
      <c r="J513" s="9" t="s">
        <v>48</v>
      </c>
      <c r="K513" s="9" t="s">
        <v>244</v>
      </c>
      <c r="L513" s="9" t="s">
        <v>1132</v>
      </c>
      <c r="M513" s="9"/>
      <c r="N513" s="9" t="s">
        <v>1793</v>
      </c>
      <c r="O513" s="9" t="s">
        <v>1794</v>
      </c>
    </row>
    <row r="514" spans="1:15">
      <c r="A514" s="9" t="s">
        <v>6</v>
      </c>
      <c r="B514" s="9" t="s">
        <v>1756</v>
      </c>
      <c r="C514" s="9" t="s">
        <v>248</v>
      </c>
      <c r="D514" s="9" t="s">
        <v>249</v>
      </c>
      <c r="E514" s="9" t="s">
        <v>1795</v>
      </c>
      <c r="F514" s="9" t="s">
        <v>47</v>
      </c>
      <c r="G514" s="9" t="s">
        <v>12</v>
      </c>
      <c r="H514" s="9" t="s">
        <v>49</v>
      </c>
      <c r="I514" s="9" t="s">
        <v>49</v>
      </c>
      <c r="J514" s="9" t="s">
        <v>48</v>
      </c>
      <c r="K514" s="9" t="s">
        <v>251</v>
      </c>
      <c r="L514" s="9" t="s">
        <v>252</v>
      </c>
      <c r="M514" s="9" t="s">
        <v>253</v>
      </c>
      <c r="N514" s="9"/>
      <c r="O514" s="9" t="s">
        <v>1796</v>
      </c>
    </row>
    <row r="515" spans="1:15">
      <c r="A515" s="9" t="s">
        <v>6</v>
      </c>
      <c r="B515" s="9" t="s">
        <v>1756</v>
      </c>
      <c r="C515" s="9" t="s">
        <v>1137</v>
      </c>
      <c r="D515" s="9" t="s">
        <v>856</v>
      </c>
      <c r="E515" s="9" t="s">
        <v>1797</v>
      </c>
      <c r="F515" s="9" t="s">
        <v>176</v>
      </c>
      <c r="G515" s="9" t="s">
        <v>16</v>
      </c>
      <c r="H515" s="9" t="s">
        <v>49</v>
      </c>
      <c r="I515" s="9" t="s">
        <v>48</v>
      </c>
      <c r="J515" s="9" t="s">
        <v>48</v>
      </c>
      <c r="K515" s="9" t="s">
        <v>50</v>
      </c>
      <c r="L515" s="9" t="s">
        <v>1139</v>
      </c>
      <c r="M515" s="9"/>
      <c r="N515" s="9"/>
      <c r="O515" s="9" t="s">
        <v>1798</v>
      </c>
    </row>
    <row r="516" spans="1:15">
      <c r="A516" s="9" t="s">
        <v>6</v>
      </c>
      <c r="B516" s="9" t="s">
        <v>1756</v>
      </c>
      <c r="C516" s="9" t="s">
        <v>860</v>
      </c>
      <c r="D516" s="9" t="s">
        <v>860</v>
      </c>
      <c r="E516" s="9" t="s">
        <v>1799</v>
      </c>
      <c r="F516" s="9" t="s">
        <v>47</v>
      </c>
      <c r="G516" s="9" t="s">
        <v>12</v>
      </c>
      <c r="H516" s="9" t="s">
        <v>49</v>
      </c>
      <c r="I516" s="9" t="s">
        <v>49</v>
      </c>
      <c r="J516" s="9" t="s">
        <v>48</v>
      </c>
      <c r="K516" s="9" t="s">
        <v>50</v>
      </c>
      <c r="L516" s="9" t="s">
        <v>1142</v>
      </c>
      <c r="M516" s="9"/>
      <c r="N516" s="9" t="s">
        <v>863</v>
      </c>
      <c r="O516" s="9" t="s">
        <v>1800</v>
      </c>
    </row>
    <row r="517" spans="1:15">
      <c r="A517" s="9" t="s">
        <v>6</v>
      </c>
      <c r="B517" s="9" t="s">
        <v>1756</v>
      </c>
      <c r="C517" s="9" t="s">
        <v>1144</v>
      </c>
      <c r="D517" s="9" t="s">
        <v>866</v>
      </c>
      <c r="E517" s="9" t="s">
        <v>1801</v>
      </c>
      <c r="F517" s="9" t="s">
        <v>83</v>
      </c>
      <c r="G517" s="9" t="s">
        <v>16</v>
      </c>
      <c r="H517" s="9" t="s">
        <v>49</v>
      </c>
      <c r="I517" s="9" t="s">
        <v>49</v>
      </c>
      <c r="J517" s="9" t="s">
        <v>48</v>
      </c>
      <c r="K517" s="9" t="s">
        <v>50</v>
      </c>
      <c r="L517" s="9" t="s">
        <v>1146</v>
      </c>
      <c r="M517" s="9"/>
      <c r="N517" s="9" t="s">
        <v>869</v>
      </c>
      <c r="O517" s="9" t="s">
        <v>1802</v>
      </c>
    </row>
    <row r="518" spans="1:15">
      <c r="A518" s="9" t="s">
        <v>6</v>
      </c>
      <c r="B518" s="9" t="s">
        <v>1756</v>
      </c>
      <c r="C518" s="9" t="s">
        <v>1148</v>
      </c>
      <c r="D518" s="9" t="s">
        <v>872</v>
      </c>
      <c r="E518" s="9" t="s">
        <v>1803</v>
      </c>
      <c r="F518" s="9" t="s">
        <v>83</v>
      </c>
      <c r="G518" s="9" t="s">
        <v>16</v>
      </c>
      <c r="H518" s="9" t="s">
        <v>49</v>
      </c>
      <c r="I518" s="9" t="s">
        <v>49</v>
      </c>
      <c r="J518" s="9" t="s">
        <v>48</v>
      </c>
      <c r="K518" s="9" t="s">
        <v>50</v>
      </c>
      <c r="L518" s="9" t="s">
        <v>1150</v>
      </c>
      <c r="M518" s="9"/>
      <c r="N518" s="9" t="s">
        <v>875</v>
      </c>
      <c r="O518" s="9" t="s">
        <v>1804</v>
      </c>
    </row>
    <row r="519" spans="1:15">
      <c r="A519" s="9" t="s">
        <v>6</v>
      </c>
      <c r="B519" s="9" t="s">
        <v>1756</v>
      </c>
      <c r="C519" s="9" t="s">
        <v>1152</v>
      </c>
      <c r="D519" s="9" t="s">
        <v>878</v>
      </c>
      <c r="E519" s="9" t="s">
        <v>1805</v>
      </c>
      <c r="F519" s="9" t="s">
        <v>83</v>
      </c>
      <c r="G519" s="9" t="s">
        <v>16</v>
      </c>
      <c r="H519" s="9" t="s">
        <v>49</v>
      </c>
      <c r="I519" s="9" t="s">
        <v>49</v>
      </c>
      <c r="J519" s="9" t="s">
        <v>48</v>
      </c>
      <c r="K519" s="9" t="s">
        <v>880</v>
      </c>
      <c r="L519" s="9" t="s">
        <v>1154</v>
      </c>
      <c r="M519" s="9"/>
      <c r="N519" s="9" t="s">
        <v>882</v>
      </c>
      <c r="O519" s="9" t="s">
        <v>1806</v>
      </c>
    </row>
    <row r="520" spans="1:15">
      <c r="A520" s="9" t="s">
        <v>6</v>
      </c>
      <c r="B520" s="9" t="s">
        <v>1756</v>
      </c>
      <c r="C520" s="9" t="s">
        <v>1156</v>
      </c>
      <c r="D520" s="9" t="s">
        <v>885</v>
      </c>
      <c r="E520" s="9" t="s">
        <v>1807</v>
      </c>
      <c r="F520" s="9" t="s">
        <v>47</v>
      </c>
      <c r="G520" s="9" t="s">
        <v>12</v>
      </c>
      <c r="H520" s="9" t="s">
        <v>49</v>
      </c>
      <c r="I520" s="9" t="s">
        <v>49</v>
      </c>
      <c r="J520" s="9" t="s">
        <v>48</v>
      </c>
      <c r="K520" s="9" t="s">
        <v>887</v>
      </c>
      <c r="L520" s="9" t="s">
        <v>888</v>
      </c>
      <c r="M520" s="9"/>
      <c r="N520" s="9" t="s">
        <v>889</v>
      </c>
      <c r="O520" s="9" t="s">
        <v>1808</v>
      </c>
    </row>
    <row r="521" spans="1:15">
      <c r="A521" s="9" t="s">
        <v>6</v>
      </c>
      <c r="B521" s="9" t="s">
        <v>1756</v>
      </c>
      <c r="C521" s="9" t="s">
        <v>891</v>
      </c>
      <c r="D521" s="9" t="s">
        <v>891</v>
      </c>
      <c r="E521" s="9" t="s">
        <v>1809</v>
      </c>
      <c r="F521" s="9" t="s">
        <v>274</v>
      </c>
      <c r="G521" s="9" t="s">
        <v>12</v>
      </c>
      <c r="H521" s="9" t="s">
        <v>49</v>
      </c>
      <c r="I521" s="9" t="s">
        <v>49</v>
      </c>
      <c r="J521" s="9" t="s">
        <v>48</v>
      </c>
      <c r="K521" s="9" t="s">
        <v>893</v>
      </c>
      <c r="L521" s="9" t="s">
        <v>894</v>
      </c>
      <c r="M521" s="9"/>
      <c r="N521" s="9" t="s">
        <v>110</v>
      </c>
      <c r="O521" s="9" t="s">
        <v>1810</v>
      </c>
    </row>
    <row r="522" spans="1:15">
      <c r="A522" s="9" t="s">
        <v>6</v>
      </c>
      <c r="B522" s="9" t="s">
        <v>1756</v>
      </c>
      <c r="C522" s="9" t="s">
        <v>1161</v>
      </c>
      <c r="D522" s="9" t="s">
        <v>897</v>
      </c>
      <c r="E522" s="9" t="s">
        <v>1811</v>
      </c>
      <c r="F522" s="9" t="s">
        <v>83</v>
      </c>
      <c r="G522" s="9" t="s">
        <v>16</v>
      </c>
      <c r="H522" s="9" t="s">
        <v>49</v>
      </c>
      <c r="I522" s="9" t="s">
        <v>49</v>
      </c>
      <c r="J522" s="9" t="s">
        <v>48</v>
      </c>
      <c r="K522" s="9" t="s">
        <v>887</v>
      </c>
      <c r="L522" s="9" t="s">
        <v>1163</v>
      </c>
      <c r="M522" s="9"/>
      <c r="N522" s="9" t="s">
        <v>900</v>
      </c>
      <c r="O522" s="9" t="s">
        <v>1812</v>
      </c>
    </row>
    <row r="523" spans="1:15">
      <c r="A523" s="9" t="s">
        <v>6</v>
      </c>
      <c r="B523" s="9" t="s">
        <v>1756</v>
      </c>
      <c r="C523" s="9" t="s">
        <v>891</v>
      </c>
      <c r="D523" s="9" t="s">
        <v>891</v>
      </c>
      <c r="E523" s="9" t="s">
        <v>1813</v>
      </c>
      <c r="F523" s="9" t="s">
        <v>274</v>
      </c>
      <c r="G523" s="9" t="s">
        <v>12</v>
      </c>
      <c r="H523" s="9" t="s">
        <v>49</v>
      </c>
      <c r="I523" s="9" t="s">
        <v>49</v>
      </c>
      <c r="J523" s="9" t="s">
        <v>48</v>
      </c>
      <c r="K523" s="9" t="s">
        <v>893</v>
      </c>
      <c r="L523" s="9" t="s">
        <v>894</v>
      </c>
      <c r="M523" s="9"/>
      <c r="N523" s="9" t="s">
        <v>110</v>
      </c>
      <c r="O523" s="9" t="s">
        <v>1814</v>
      </c>
    </row>
    <row r="524" spans="1:15">
      <c r="A524" s="9" t="s">
        <v>6</v>
      </c>
      <c r="B524" s="9" t="s">
        <v>1756</v>
      </c>
      <c r="C524" s="9" t="s">
        <v>1167</v>
      </c>
      <c r="D524" s="9" t="s">
        <v>1168</v>
      </c>
      <c r="E524" s="9" t="s">
        <v>1815</v>
      </c>
      <c r="F524" s="9" t="s">
        <v>47</v>
      </c>
      <c r="G524" s="9" t="s">
        <v>10</v>
      </c>
      <c r="H524" s="9" t="s">
        <v>48</v>
      </c>
      <c r="I524" s="9" t="s">
        <v>49</v>
      </c>
      <c r="J524" s="9" t="s">
        <v>48</v>
      </c>
      <c r="K524" s="9" t="s">
        <v>50</v>
      </c>
      <c r="L524" s="9" t="s">
        <v>1170</v>
      </c>
      <c r="M524" s="9"/>
      <c r="N524" s="9"/>
      <c r="O524" s="9" t="s">
        <v>1816</v>
      </c>
    </row>
    <row r="525" spans="1:15">
      <c r="A525" s="9" t="s">
        <v>6</v>
      </c>
      <c r="B525" s="9" t="s">
        <v>1756</v>
      </c>
      <c r="C525" s="9" t="s">
        <v>1172</v>
      </c>
      <c r="D525" s="9" t="s">
        <v>1173</v>
      </c>
      <c r="E525" s="9" t="s">
        <v>1817</v>
      </c>
      <c r="F525" s="9" t="s">
        <v>83</v>
      </c>
      <c r="G525" s="9" t="s">
        <v>16</v>
      </c>
      <c r="H525" s="9" t="s">
        <v>49</v>
      </c>
      <c r="I525" s="9" t="s">
        <v>49</v>
      </c>
      <c r="J525" s="9" t="s">
        <v>48</v>
      </c>
      <c r="K525" s="9" t="s">
        <v>50</v>
      </c>
      <c r="L525" s="9" t="s">
        <v>1175</v>
      </c>
      <c r="M525" s="9"/>
      <c r="N525" s="9" t="s">
        <v>1176</v>
      </c>
      <c r="O525" s="9" t="s">
        <v>1818</v>
      </c>
    </row>
    <row r="526" spans="1:15">
      <c r="A526" s="9" t="s">
        <v>6</v>
      </c>
      <c r="B526" s="9" t="s">
        <v>1756</v>
      </c>
      <c r="C526" s="9" t="s">
        <v>1178</v>
      </c>
      <c r="D526" s="9" t="s">
        <v>344</v>
      </c>
      <c r="E526" s="9" t="s">
        <v>1819</v>
      </c>
      <c r="F526" s="9" t="s">
        <v>47</v>
      </c>
      <c r="G526" s="9" t="s">
        <v>10</v>
      </c>
      <c r="H526" s="9" t="s">
        <v>48</v>
      </c>
      <c r="I526" s="9" t="s">
        <v>49</v>
      </c>
      <c r="J526" s="9" t="s">
        <v>48</v>
      </c>
      <c r="K526" s="9" t="s">
        <v>50</v>
      </c>
      <c r="L526" s="9" t="s">
        <v>1180</v>
      </c>
      <c r="M526" s="9"/>
      <c r="N526" s="9" t="s">
        <v>1178</v>
      </c>
      <c r="O526" s="9" t="s">
        <v>1820</v>
      </c>
    </row>
    <row r="527" spans="1:15">
      <c r="A527" s="9" t="s">
        <v>6</v>
      </c>
      <c r="B527" s="9" t="s">
        <v>1756</v>
      </c>
      <c r="C527" s="9" t="s">
        <v>1182</v>
      </c>
      <c r="D527" s="9" t="s">
        <v>1183</v>
      </c>
      <c r="E527" s="9" t="s">
        <v>1821</v>
      </c>
      <c r="F527" s="9" t="s">
        <v>83</v>
      </c>
      <c r="G527" s="9" t="s">
        <v>16</v>
      </c>
      <c r="H527" s="9" t="s">
        <v>49</v>
      </c>
      <c r="I527" s="9" t="s">
        <v>49</v>
      </c>
      <c r="J527" s="9" t="s">
        <v>48</v>
      </c>
      <c r="K527" s="9" t="s">
        <v>50</v>
      </c>
      <c r="L527" s="9" t="s">
        <v>1182</v>
      </c>
      <c r="M527" s="9"/>
      <c r="N527" s="9"/>
      <c r="O527" s="9" t="s">
        <v>1822</v>
      </c>
    </row>
    <row r="528" spans="1:15">
      <c r="A528" s="9" t="s">
        <v>6</v>
      </c>
      <c r="B528" s="9" t="s">
        <v>1756</v>
      </c>
      <c r="C528" s="9" t="s">
        <v>1186</v>
      </c>
      <c r="D528" s="9" t="s">
        <v>68</v>
      </c>
      <c r="E528" s="9" t="s">
        <v>1823</v>
      </c>
      <c r="F528" s="9" t="s">
        <v>47</v>
      </c>
      <c r="G528" s="9" t="s">
        <v>12</v>
      </c>
      <c r="H528" s="9" t="s">
        <v>49</v>
      </c>
      <c r="I528" s="9" t="s">
        <v>49</v>
      </c>
      <c r="J528" s="9" t="s">
        <v>48</v>
      </c>
      <c r="K528" s="9" t="s">
        <v>50</v>
      </c>
      <c r="L528" s="9" t="s">
        <v>1188</v>
      </c>
      <c r="M528" s="9"/>
      <c r="N528" s="9" t="s">
        <v>1189</v>
      </c>
      <c r="O528" s="9" t="s">
        <v>1824</v>
      </c>
    </row>
    <row r="529" spans="1:15">
      <c r="A529" s="9" t="s">
        <v>6</v>
      </c>
      <c r="B529" s="9" t="s">
        <v>1756</v>
      </c>
      <c r="C529" s="9" t="s">
        <v>1191</v>
      </c>
      <c r="D529" s="9" t="s">
        <v>1192</v>
      </c>
      <c r="E529" s="9" t="s">
        <v>1825</v>
      </c>
      <c r="F529" s="9" t="s">
        <v>83</v>
      </c>
      <c r="G529" s="9" t="s">
        <v>16</v>
      </c>
      <c r="H529" s="9" t="s">
        <v>49</v>
      </c>
      <c r="I529" s="9" t="s">
        <v>49</v>
      </c>
      <c r="J529" s="9" t="s">
        <v>48</v>
      </c>
      <c r="K529" s="9" t="s">
        <v>50</v>
      </c>
      <c r="L529" s="9" t="s">
        <v>1191</v>
      </c>
      <c r="M529" s="9"/>
      <c r="N529" s="9"/>
      <c r="O529" s="9" t="s">
        <v>1826</v>
      </c>
    </row>
    <row r="530" spans="1:15">
      <c r="A530" s="9" t="s">
        <v>6</v>
      </c>
      <c r="B530" s="9" t="s">
        <v>1756</v>
      </c>
      <c r="C530" s="9" t="s">
        <v>1195</v>
      </c>
      <c r="D530" s="9" t="s">
        <v>68</v>
      </c>
      <c r="E530" s="9" t="s">
        <v>1827</v>
      </c>
      <c r="F530" s="9" t="s">
        <v>47</v>
      </c>
      <c r="G530" s="9" t="s">
        <v>12</v>
      </c>
      <c r="H530" s="9" t="s">
        <v>49</v>
      </c>
      <c r="I530" s="9" t="s">
        <v>49</v>
      </c>
      <c r="J530" s="9" t="s">
        <v>48</v>
      </c>
      <c r="K530" s="9" t="s">
        <v>50</v>
      </c>
      <c r="L530" s="9" t="s">
        <v>1197</v>
      </c>
      <c r="M530" s="9"/>
      <c r="N530" s="9" t="s">
        <v>1198</v>
      </c>
      <c r="O530" s="9" t="s">
        <v>1828</v>
      </c>
    </row>
    <row r="531" spans="1:15">
      <c r="A531" s="9" t="s">
        <v>6</v>
      </c>
      <c r="B531" s="9" t="s">
        <v>1756</v>
      </c>
      <c r="C531" s="9" t="s">
        <v>1200</v>
      </c>
      <c r="D531" s="9" t="s">
        <v>1201</v>
      </c>
      <c r="E531" s="9" t="s">
        <v>1829</v>
      </c>
      <c r="F531" s="9" t="s">
        <v>83</v>
      </c>
      <c r="G531" s="9" t="s">
        <v>16</v>
      </c>
      <c r="H531" s="9" t="s">
        <v>49</v>
      </c>
      <c r="I531" s="9" t="s">
        <v>49</v>
      </c>
      <c r="J531" s="9" t="s">
        <v>48</v>
      </c>
      <c r="K531" s="9" t="s">
        <v>50</v>
      </c>
      <c r="L531" s="9" t="s">
        <v>1200</v>
      </c>
      <c r="M531" s="9"/>
      <c r="N531" s="9"/>
      <c r="O531" s="9" t="s">
        <v>1830</v>
      </c>
    </row>
    <row r="532" spans="1:15">
      <c r="A532" s="9" t="s">
        <v>6</v>
      </c>
      <c r="B532" s="9" t="s">
        <v>1756</v>
      </c>
      <c r="C532" s="9" t="s">
        <v>1204</v>
      </c>
      <c r="D532" s="9" t="s">
        <v>68</v>
      </c>
      <c r="E532" s="9" t="s">
        <v>1831</v>
      </c>
      <c r="F532" s="9" t="s">
        <v>47</v>
      </c>
      <c r="G532" s="9" t="s">
        <v>12</v>
      </c>
      <c r="H532" s="9" t="s">
        <v>49</v>
      </c>
      <c r="I532" s="9" t="s">
        <v>49</v>
      </c>
      <c r="J532" s="9" t="s">
        <v>48</v>
      </c>
      <c r="K532" s="9" t="s">
        <v>50</v>
      </c>
      <c r="L532" s="9" t="s">
        <v>1206</v>
      </c>
      <c r="M532" s="9"/>
      <c r="N532" s="9" t="s">
        <v>1207</v>
      </c>
      <c r="O532" s="9" t="s">
        <v>1832</v>
      </c>
    </row>
    <row r="533" spans="1:15">
      <c r="A533" s="9" t="s">
        <v>6</v>
      </c>
      <c r="B533" s="9" t="s">
        <v>1756</v>
      </c>
      <c r="C533" s="9" t="s">
        <v>1209</v>
      </c>
      <c r="D533" s="9" t="s">
        <v>241</v>
      </c>
      <c r="E533" s="9" t="s">
        <v>1833</v>
      </c>
      <c r="F533" s="9" t="s">
        <v>274</v>
      </c>
      <c r="G533" s="9" t="s">
        <v>12</v>
      </c>
      <c r="H533" s="9" t="s">
        <v>49</v>
      </c>
      <c r="I533" s="9" t="s">
        <v>49</v>
      </c>
      <c r="J533" s="9" t="s">
        <v>48</v>
      </c>
      <c r="K533" s="9" t="s">
        <v>244</v>
      </c>
      <c r="L533" s="9" t="s">
        <v>1211</v>
      </c>
      <c r="M533" s="9"/>
      <c r="N533" s="9" t="s">
        <v>1212</v>
      </c>
      <c r="O533" s="9" t="s">
        <v>1834</v>
      </c>
    </row>
    <row r="534" spans="1:15">
      <c r="A534" s="9" t="s">
        <v>6</v>
      </c>
      <c r="B534" s="9" t="s">
        <v>1756</v>
      </c>
      <c r="C534" s="9" t="s">
        <v>1214</v>
      </c>
      <c r="D534" s="9" t="s">
        <v>1215</v>
      </c>
      <c r="E534" s="9" t="s">
        <v>1835</v>
      </c>
      <c r="F534" s="9" t="s">
        <v>83</v>
      </c>
      <c r="G534" s="9" t="s">
        <v>16</v>
      </c>
      <c r="H534" s="9" t="s">
        <v>49</v>
      </c>
      <c r="I534" s="9" t="s">
        <v>49</v>
      </c>
      <c r="J534" s="9" t="s">
        <v>48</v>
      </c>
      <c r="K534" s="9" t="s">
        <v>381</v>
      </c>
      <c r="L534" s="9" t="s">
        <v>1214</v>
      </c>
      <c r="M534" s="9"/>
      <c r="N534" s="9"/>
      <c r="O534" s="9" t="s">
        <v>1836</v>
      </c>
    </row>
    <row r="535" spans="1:15">
      <c r="A535" s="9" t="s">
        <v>6</v>
      </c>
      <c r="B535" s="9" t="s">
        <v>1756</v>
      </c>
      <c r="C535" s="9" t="s">
        <v>1218</v>
      </c>
      <c r="D535" s="9" t="s">
        <v>399</v>
      </c>
      <c r="E535" s="9" t="s">
        <v>1837</v>
      </c>
      <c r="F535" s="9" t="s">
        <v>47</v>
      </c>
      <c r="G535" s="9" t="s">
        <v>12</v>
      </c>
      <c r="H535" s="9" t="s">
        <v>49</v>
      </c>
      <c r="I535" s="9" t="s">
        <v>49</v>
      </c>
      <c r="J535" s="9" t="s">
        <v>48</v>
      </c>
      <c r="K535" s="9" t="s">
        <v>381</v>
      </c>
      <c r="L535" s="9" t="s">
        <v>1220</v>
      </c>
      <c r="M535" s="9"/>
      <c r="N535" s="9" t="s">
        <v>1221</v>
      </c>
      <c r="O535" s="9" t="s">
        <v>1838</v>
      </c>
    </row>
    <row r="536" spans="1:15">
      <c r="A536" s="9" t="s">
        <v>6</v>
      </c>
      <c r="B536" s="9" t="s">
        <v>1756</v>
      </c>
      <c r="C536" s="9" t="s">
        <v>1223</v>
      </c>
      <c r="D536" s="9" t="s">
        <v>1224</v>
      </c>
      <c r="E536" s="9" t="s">
        <v>1839</v>
      </c>
      <c r="F536" s="9" t="s">
        <v>176</v>
      </c>
      <c r="G536" s="9" t="s">
        <v>16</v>
      </c>
      <c r="H536" s="9" t="s">
        <v>49</v>
      </c>
      <c r="I536" s="9" t="s">
        <v>48</v>
      </c>
      <c r="J536" s="9" t="s">
        <v>48</v>
      </c>
      <c r="K536" s="9" t="s">
        <v>50</v>
      </c>
      <c r="L536" s="9" t="s">
        <v>1223</v>
      </c>
      <c r="M536" s="9"/>
      <c r="N536" s="9"/>
      <c r="O536" s="9" t="s">
        <v>1840</v>
      </c>
    </row>
    <row r="537" spans="1:15">
      <c r="A537" s="9" t="s">
        <v>6</v>
      </c>
      <c r="B537" s="9" t="s">
        <v>1756</v>
      </c>
      <c r="C537" s="9" t="s">
        <v>1227</v>
      </c>
      <c r="D537" s="9" t="s">
        <v>1228</v>
      </c>
      <c r="E537" s="9" t="s">
        <v>1841</v>
      </c>
      <c r="F537" s="9" t="s">
        <v>47</v>
      </c>
      <c r="G537" s="9" t="s">
        <v>12</v>
      </c>
      <c r="H537" s="9" t="s">
        <v>49</v>
      </c>
      <c r="I537" s="9" t="s">
        <v>49</v>
      </c>
      <c r="J537" s="9" t="s">
        <v>48</v>
      </c>
      <c r="K537" s="9" t="s">
        <v>50</v>
      </c>
      <c r="L537" s="9" t="s">
        <v>1230</v>
      </c>
      <c r="M537" s="9"/>
      <c r="N537" s="9" t="s">
        <v>1198</v>
      </c>
      <c r="O537" s="9" t="s">
        <v>1842</v>
      </c>
    </row>
    <row r="538" spans="1:15">
      <c r="A538" s="9" t="s">
        <v>6</v>
      </c>
      <c r="B538" s="9" t="s">
        <v>1756</v>
      </c>
      <c r="C538" s="9" t="s">
        <v>1232</v>
      </c>
      <c r="D538" s="9" t="s">
        <v>1233</v>
      </c>
      <c r="E538" s="9" t="s">
        <v>1843</v>
      </c>
      <c r="F538" s="9" t="s">
        <v>274</v>
      </c>
      <c r="G538" s="9" t="s">
        <v>12</v>
      </c>
      <c r="H538" s="9" t="s">
        <v>49</v>
      </c>
      <c r="I538" s="9" t="s">
        <v>49</v>
      </c>
      <c r="J538" s="9" t="s">
        <v>48</v>
      </c>
      <c r="K538" s="9" t="s">
        <v>50</v>
      </c>
      <c r="L538" s="9" t="s">
        <v>1235</v>
      </c>
      <c r="M538" s="9"/>
      <c r="N538" s="9" t="s">
        <v>1236</v>
      </c>
      <c r="O538" s="9" t="s">
        <v>1844</v>
      </c>
    </row>
    <row r="539" spans="1:15">
      <c r="A539" s="9" t="s">
        <v>6</v>
      </c>
      <c r="B539" s="9" t="s">
        <v>1756</v>
      </c>
      <c r="C539" s="9" t="s">
        <v>1238</v>
      </c>
      <c r="D539" s="9" t="s">
        <v>1239</v>
      </c>
      <c r="E539" s="9" t="s">
        <v>1845</v>
      </c>
      <c r="F539" s="9" t="s">
        <v>243</v>
      </c>
      <c r="G539" s="9" t="s">
        <v>16</v>
      </c>
      <c r="H539" s="9" t="s">
        <v>49</v>
      </c>
      <c r="I539" s="9" t="s">
        <v>49</v>
      </c>
      <c r="J539" s="9" t="s">
        <v>48</v>
      </c>
      <c r="K539" s="9" t="s">
        <v>50</v>
      </c>
      <c r="L539" s="9" t="s">
        <v>1241</v>
      </c>
      <c r="M539" s="9"/>
      <c r="N539" s="9"/>
      <c r="O539" s="9" t="s">
        <v>1846</v>
      </c>
    </row>
    <row r="540" spans="1:15">
      <c r="A540" s="9" t="s">
        <v>6</v>
      </c>
      <c r="B540" s="9" t="s">
        <v>1756</v>
      </c>
      <c r="C540" s="9" t="s">
        <v>1243</v>
      </c>
      <c r="D540" s="9" t="s">
        <v>1244</v>
      </c>
      <c r="E540" s="9" t="s">
        <v>1847</v>
      </c>
      <c r="F540" s="9" t="s">
        <v>47</v>
      </c>
      <c r="G540" s="9" t="s">
        <v>10</v>
      </c>
      <c r="H540" s="9" t="s">
        <v>48</v>
      </c>
      <c r="I540" s="9" t="s">
        <v>49</v>
      </c>
      <c r="J540" s="9" t="s">
        <v>48</v>
      </c>
      <c r="K540" s="9" t="s">
        <v>50</v>
      </c>
      <c r="L540" s="9" t="s">
        <v>1246</v>
      </c>
      <c r="M540" s="9"/>
      <c r="N540" s="9"/>
      <c r="O540" s="9" t="s">
        <v>1848</v>
      </c>
    </row>
    <row r="541" spans="1:15">
      <c r="A541" s="9" t="s">
        <v>6</v>
      </c>
      <c r="B541" s="9" t="s">
        <v>1756</v>
      </c>
      <c r="C541" s="9" t="s">
        <v>1248</v>
      </c>
      <c r="D541" s="9" t="s">
        <v>68</v>
      </c>
      <c r="E541" s="9" t="s">
        <v>1849</v>
      </c>
      <c r="F541" s="9" t="s">
        <v>47</v>
      </c>
      <c r="G541" s="9" t="s">
        <v>10</v>
      </c>
      <c r="H541" s="9" t="s">
        <v>48</v>
      </c>
      <c r="I541" s="9" t="s">
        <v>49</v>
      </c>
      <c r="J541" s="9" t="s">
        <v>48</v>
      </c>
      <c r="K541" s="9" t="s">
        <v>907</v>
      </c>
      <c r="L541" s="9" t="s">
        <v>1250</v>
      </c>
      <c r="M541" s="9"/>
      <c r="N541" s="9" t="s">
        <v>912</v>
      </c>
      <c r="O541" s="9" t="s">
        <v>1850</v>
      </c>
    </row>
    <row r="542" spans="1:15">
      <c r="A542" s="9" t="s">
        <v>6</v>
      </c>
      <c r="B542" s="9" t="s">
        <v>1756</v>
      </c>
      <c r="C542" s="9" t="s">
        <v>1252</v>
      </c>
      <c r="D542" s="9" t="s">
        <v>915</v>
      </c>
      <c r="E542" s="9" t="s">
        <v>1851</v>
      </c>
      <c r="F542" s="9" t="s">
        <v>83</v>
      </c>
      <c r="G542" s="9" t="s">
        <v>16</v>
      </c>
      <c r="H542" s="9" t="s">
        <v>49</v>
      </c>
      <c r="I542" s="9" t="s">
        <v>49</v>
      </c>
      <c r="J542" s="9" t="s">
        <v>48</v>
      </c>
      <c r="K542" s="9" t="s">
        <v>880</v>
      </c>
      <c r="L542" s="9" t="s">
        <v>1254</v>
      </c>
      <c r="M542" s="9"/>
      <c r="N542" s="9" t="s">
        <v>918</v>
      </c>
      <c r="O542" s="9" t="s">
        <v>1852</v>
      </c>
    </row>
    <row r="543" spans="1:15">
      <c r="A543" s="9" t="s">
        <v>6</v>
      </c>
      <c r="B543" s="9" t="s">
        <v>1756</v>
      </c>
      <c r="C543" s="9" t="s">
        <v>415</v>
      </c>
      <c r="D543" s="9" t="s">
        <v>416</v>
      </c>
      <c r="E543" s="9" t="s">
        <v>1853</v>
      </c>
      <c r="F543" s="9" t="s">
        <v>47</v>
      </c>
      <c r="G543" s="9" t="s">
        <v>10</v>
      </c>
      <c r="H543" s="9" t="s">
        <v>48</v>
      </c>
      <c r="I543" s="9" t="s">
        <v>49</v>
      </c>
      <c r="J543" s="9" t="s">
        <v>48</v>
      </c>
      <c r="K543" s="9" t="s">
        <v>418</v>
      </c>
      <c r="L543" s="9" t="s">
        <v>415</v>
      </c>
      <c r="M543" s="9"/>
      <c r="N543" s="9"/>
      <c r="O543" s="9" t="s">
        <v>1854</v>
      </c>
    </row>
    <row r="544" spans="1:15">
      <c r="A544" s="9" t="s">
        <v>6</v>
      </c>
      <c r="B544" s="9" t="s">
        <v>1756</v>
      </c>
      <c r="C544" s="9" t="s">
        <v>68</v>
      </c>
      <c r="D544" s="9" t="s">
        <v>68</v>
      </c>
      <c r="E544" s="9" t="s">
        <v>1855</v>
      </c>
      <c r="F544" s="9" t="s">
        <v>47</v>
      </c>
      <c r="G544" s="9" t="s">
        <v>10</v>
      </c>
      <c r="H544" s="9" t="s">
        <v>48</v>
      </c>
      <c r="I544" s="9" t="s">
        <v>49</v>
      </c>
      <c r="J544" s="9" t="s">
        <v>48</v>
      </c>
      <c r="K544" s="9" t="s">
        <v>554</v>
      </c>
      <c r="L544" s="9" t="s">
        <v>555</v>
      </c>
      <c r="M544" s="9" t="s">
        <v>422</v>
      </c>
      <c r="N544" s="9"/>
      <c r="O544" s="9" t="s">
        <v>1856</v>
      </c>
    </row>
    <row r="545" spans="1:15">
      <c r="A545" s="9" t="s">
        <v>6</v>
      </c>
      <c r="B545" s="9" t="s">
        <v>1756</v>
      </c>
      <c r="C545" s="9" t="s">
        <v>1260</v>
      </c>
      <c r="D545" s="9" t="s">
        <v>1261</v>
      </c>
      <c r="E545" s="9" t="s">
        <v>1857</v>
      </c>
      <c r="F545" s="9" t="s">
        <v>176</v>
      </c>
      <c r="G545" s="9" t="s">
        <v>16</v>
      </c>
      <c r="H545" s="9" t="s">
        <v>49</v>
      </c>
      <c r="I545" s="9" t="s">
        <v>48</v>
      </c>
      <c r="J545" s="9" t="s">
        <v>48</v>
      </c>
      <c r="K545" s="9" t="s">
        <v>50</v>
      </c>
      <c r="L545" s="9" t="s">
        <v>1263</v>
      </c>
      <c r="M545" s="9"/>
      <c r="N545" s="9"/>
      <c r="O545" s="9" t="s">
        <v>1858</v>
      </c>
    </row>
    <row r="546" spans="1:15">
      <c r="A546" s="9" t="s">
        <v>6</v>
      </c>
      <c r="B546" s="9" t="s">
        <v>1756</v>
      </c>
      <c r="C546" s="9" t="s">
        <v>1265</v>
      </c>
      <c r="D546" s="9" t="s">
        <v>344</v>
      </c>
      <c r="E546" s="9" t="s">
        <v>1859</v>
      </c>
      <c r="F546" s="9" t="s">
        <v>47</v>
      </c>
      <c r="G546" s="9" t="s">
        <v>12</v>
      </c>
      <c r="H546" s="9" t="s">
        <v>49</v>
      </c>
      <c r="I546" s="9" t="s">
        <v>49</v>
      </c>
      <c r="J546" s="9" t="s">
        <v>48</v>
      </c>
      <c r="K546" s="9" t="s">
        <v>50</v>
      </c>
      <c r="L546" s="9" t="s">
        <v>1267</v>
      </c>
      <c r="M546" s="9"/>
      <c r="N546" s="9" t="s">
        <v>1268</v>
      </c>
      <c r="O546" s="9" t="s">
        <v>1860</v>
      </c>
    </row>
    <row r="547" spans="1:15">
      <c r="A547" s="9" t="s">
        <v>6</v>
      </c>
      <c r="B547" s="9" t="s">
        <v>1756</v>
      </c>
      <c r="C547" s="9" t="s">
        <v>1270</v>
      </c>
      <c r="D547" s="9" t="s">
        <v>1271</v>
      </c>
      <c r="E547" s="9" t="s">
        <v>1861</v>
      </c>
      <c r="F547" s="9" t="s">
        <v>47</v>
      </c>
      <c r="G547" s="9" t="s">
        <v>12</v>
      </c>
      <c r="H547" s="9" t="s">
        <v>49</v>
      </c>
      <c r="I547" s="9" t="s">
        <v>49</v>
      </c>
      <c r="J547" s="9" t="s">
        <v>48</v>
      </c>
      <c r="K547" s="9" t="s">
        <v>50</v>
      </c>
      <c r="L547" s="9" t="s">
        <v>1273</v>
      </c>
      <c r="M547" s="9"/>
      <c r="N547" s="9" t="s">
        <v>1274</v>
      </c>
      <c r="O547" s="9" t="s">
        <v>1862</v>
      </c>
    </row>
    <row r="548" spans="1:15">
      <c r="A548" s="9" t="s">
        <v>6</v>
      </c>
      <c r="B548" s="9" t="s">
        <v>1756</v>
      </c>
      <c r="C548" s="9" t="s">
        <v>1276</v>
      </c>
      <c r="D548" s="9" t="s">
        <v>1277</v>
      </c>
      <c r="E548" s="9" t="s">
        <v>1863</v>
      </c>
      <c r="F548" s="9" t="s">
        <v>47</v>
      </c>
      <c r="G548" s="9" t="s">
        <v>10</v>
      </c>
      <c r="H548" s="9" t="s">
        <v>48</v>
      </c>
      <c r="I548" s="9" t="s">
        <v>49</v>
      </c>
      <c r="J548" s="9" t="s">
        <v>48</v>
      </c>
      <c r="K548" s="9" t="s">
        <v>880</v>
      </c>
      <c r="L548" s="9" t="s">
        <v>1279</v>
      </c>
      <c r="M548" s="9"/>
      <c r="N548" s="9"/>
      <c r="O548" s="9" t="s">
        <v>1864</v>
      </c>
    </row>
    <row r="549" spans="1:15">
      <c r="A549" s="9" t="s">
        <v>6</v>
      </c>
      <c r="B549" s="9" t="s">
        <v>1756</v>
      </c>
      <c r="C549" s="9" t="s">
        <v>1281</v>
      </c>
      <c r="D549" s="9" t="s">
        <v>1282</v>
      </c>
      <c r="E549" s="9" t="s">
        <v>1865</v>
      </c>
      <c r="F549" s="9" t="s">
        <v>47</v>
      </c>
      <c r="G549" s="9" t="s">
        <v>10</v>
      </c>
      <c r="H549" s="9" t="s">
        <v>48</v>
      </c>
      <c r="I549" s="9" t="s">
        <v>49</v>
      </c>
      <c r="J549" s="9" t="s">
        <v>48</v>
      </c>
      <c r="K549" s="9" t="s">
        <v>880</v>
      </c>
      <c r="L549" s="9" t="s">
        <v>1284</v>
      </c>
      <c r="M549" s="9"/>
      <c r="N549" s="9" t="s">
        <v>1285</v>
      </c>
      <c r="O549" s="9" t="s">
        <v>1866</v>
      </c>
    </row>
    <row r="550" spans="1:15">
      <c r="A550" s="9" t="s">
        <v>6</v>
      </c>
      <c r="B550" s="9" t="s">
        <v>1756</v>
      </c>
      <c r="C550" s="9" t="s">
        <v>891</v>
      </c>
      <c r="D550" s="9" t="s">
        <v>891</v>
      </c>
      <c r="E550" s="9" t="s">
        <v>1867</v>
      </c>
      <c r="F550" s="9" t="s">
        <v>274</v>
      </c>
      <c r="G550" s="9" t="s">
        <v>10</v>
      </c>
      <c r="H550" s="9" t="s">
        <v>48</v>
      </c>
      <c r="I550" s="9" t="s">
        <v>49</v>
      </c>
      <c r="J550" s="9" t="s">
        <v>48</v>
      </c>
      <c r="K550" s="9" t="s">
        <v>893</v>
      </c>
      <c r="L550" s="9" t="s">
        <v>894</v>
      </c>
      <c r="M550" s="9"/>
      <c r="N550" s="9" t="s">
        <v>110</v>
      </c>
      <c r="O550" s="9" t="s">
        <v>1868</v>
      </c>
    </row>
    <row r="551" spans="1:15">
      <c r="A551" s="9" t="s">
        <v>6</v>
      </c>
      <c r="B551" s="9" t="s">
        <v>1756</v>
      </c>
      <c r="C551" s="9" t="s">
        <v>1289</v>
      </c>
      <c r="D551" s="9" t="s">
        <v>1290</v>
      </c>
      <c r="E551" s="9" t="s">
        <v>1869</v>
      </c>
      <c r="F551" s="9" t="s">
        <v>83</v>
      </c>
      <c r="G551" s="9" t="s">
        <v>16</v>
      </c>
      <c r="H551" s="9" t="s">
        <v>49</v>
      </c>
      <c r="I551" s="9" t="s">
        <v>49</v>
      </c>
      <c r="J551" s="9" t="s">
        <v>48</v>
      </c>
      <c r="K551" s="9" t="s">
        <v>880</v>
      </c>
      <c r="L551" s="9" t="s">
        <v>1292</v>
      </c>
      <c r="M551" s="9"/>
      <c r="N551" s="9" t="s">
        <v>19</v>
      </c>
      <c r="O551" s="9" t="s">
        <v>1870</v>
      </c>
    </row>
    <row r="552" spans="1:15">
      <c r="A552" s="9" t="s">
        <v>6</v>
      </c>
      <c r="B552" s="9" t="s">
        <v>1756</v>
      </c>
      <c r="C552" s="9" t="s">
        <v>1294</v>
      </c>
      <c r="D552" s="9" t="s">
        <v>1081</v>
      </c>
      <c r="E552" s="9" t="s">
        <v>1871</v>
      </c>
      <c r="F552" s="9" t="s">
        <v>243</v>
      </c>
      <c r="G552" s="9" t="s">
        <v>16</v>
      </c>
      <c r="H552" s="9" t="s">
        <v>49</v>
      </c>
      <c r="I552" s="9" t="s">
        <v>49</v>
      </c>
      <c r="J552" s="9" t="s">
        <v>48</v>
      </c>
      <c r="K552" s="9" t="s">
        <v>1083</v>
      </c>
      <c r="L552" s="9" t="s">
        <v>1296</v>
      </c>
      <c r="M552" s="9"/>
      <c r="N552" s="9" t="s">
        <v>1085</v>
      </c>
      <c r="O552" s="9" t="s">
        <v>1872</v>
      </c>
    </row>
    <row r="553" spans="1:15">
      <c r="A553" s="9" t="s">
        <v>6</v>
      </c>
      <c r="B553" s="9" t="s">
        <v>1756</v>
      </c>
      <c r="C553" s="9" t="s">
        <v>1298</v>
      </c>
      <c r="D553" s="9" t="s">
        <v>856</v>
      </c>
      <c r="E553" s="9" t="s">
        <v>1873</v>
      </c>
      <c r="F553" s="9" t="s">
        <v>83</v>
      </c>
      <c r="G553" s="9" t="s">
        <v>16</v>
      </c>
      <c r="H553" s="9" t="s">
        <v>49</v>
      </c>
      <c r="I553" s="9" t="s">
        <v>49</v>
      </c>
      <c r="J553" s="9" t="s">
        <v>48</v>
      </c>
      <c r="K553" s="9" t="s">
        <v>880</v>
      </c>
      <c r="L553" s="9" t="s">
        <v>1298</v>
      </c>
      <c r="M553" s="9"/>
      <c r="N553" s="9"/>
      <c r="O553" s="9" t="s">
        <v>1874</v>
      </c>
    </row>
    <row r="554" spans="1:15">
      <c r="A554" s="9" t="s">
        <v>6</v>
      </c>
      <c r="B554" s="9" t="s">
        <v>1756</v>
      </c>
      <c r="C554" s="9" t="s">
        <v>860</v>
      </c>
      <c r="D554" s="9" t="s">
        <v>860</v>
      </c>
      <c r="E554" s="9" t="s">
        <v>1875</v>
      </c>
      <c r="F554" s="9" t="s">
        <v>47</v>
      </c>
      <c r="G554" s="9" t="s">
        <v>12</v>
      </c>
      <c r="H554" s="9" t="s">
        <v>49</v>
      </c>
      <c r="I554" s="9" t="s">
        <v>49</v>
      </c>
      <c r="J554" s="9" t="s">
        <v>48</v>
      </c>
      <c r="K554" s="9" t="s">
        <v>887</v>
      </c>
      <c r="L554" s="9" t="s">
        <v>1302</v>
      </c>
      <c r="M554" s="9"/>
      <c r="N554" s="9"/>
      <c r="O554" s="9" t="s">
        <v>1876</v>
      </c>
    </row>
    <row r="555" spans="1:15">
      <c r="A555" s="9" t="s">
        <v>6</v>
      </c>
      <c r="B555" s="9" t="s">
        <v>1756</v>
      </c>
      <c r="C555" s="9" t="s">
        <v>1304</v>
      </c>
      <c r="D555" s="9" t="s">
        <v>885</v>
      </c>
      <c r="E555" s="9" t="s">
        <v>1877</v>
      </c>
      <c r="F555" s="9" t="s">
        <v>47</v>
      </c>
      <c r="G555" s="9" t="s">
        <v>12</v>
      </c>
      <c r="H555" s="9" t="s">
        <v>49</v>
      </c>
      <c r="I555" s="9" t="s">
        <v>49</v>
      </c>
      <c r="J555" s="9" t="s">
        <v>48</v>
      </c>
      <c r="K555" s="9" t="s">
        <v>880</v>
      </c>
      <c r="L555" s="9" t="s">
        <v>1306</v>
      </c>
      <c r="M555" s="9"/>
      <c r="N555" s="9" t="s">
        <v>1078</v>
      </c>
      <c r="O555" s="9" t="s">
        <v>1878</v>
      </c>
    </row>
    <row r="556" spans="1:15">
      <c r="A556" s="9" t="s">
        <v>6</v>
      </c>
      <c r="B556" s="9" t="s">
        <v>1756</v>
      </c>
      <c r="C556" s="9" t="s">
        <v>891</v>
      </c>
      <c r="D556" s="9" t="s">
        <v>891</v>
      </c>
      <c r="E556" s="9" t="s">
        <v>1879</v>
      </c>
      <c r="F556" s="9" t="s">
        <v>274</v>
      </c>
      <c r="G556" s="9" t="s">
        <v>12</v>
      </c>
      <c r="H556" s="9" t="s">
        <v>49</v>
      </c>
      <c r="I556" s="9" t="s">
        <v>49</v>
      </c>
      <c r="J556" s="9" t="s">
        <v>48</v>
      </c>
      <c r="K556" s="9" t="s">
        <v>893</v>
      </c>
      <c r="L556" s="9" t="s">
        <v>894</v>
      </c>
      <c r="M556" s="9"/>
      <c r="N556" s="9" t="s">
        <v>110</v>
      </c>
      <c r="O556" s="9" t="s">
        <v>1880</v>
      </c>
    </row>
    <row r="557" spans="1:15">
      <c r="A557" s="9" t="s">
        <v>6</v>
      </c>
      <c r="B557" s="9" t="s">
        <v>1756</v>
      </c>
      <c r="C557" s="9" t="s">
        <v>1310</v>
      </c>
      <c r="D557" s="9" t="s">
        <v>897</v>
      </c>
      <c r="E557" s="9" t="s">
        <v>1881</v>
      </c>
      <c r="F557" s="9" t="s">
        <v>83</v>
      </c>
      <c r="G557" s="9" t="s">
        <v>16</v>
      </c>
      <c r="H557" s="9" t="s">
        <v>49</v>
      </c>
      <c r="I557" s="9" t="s">
        <v>49</v>
      </c>
      <c r="J557" s="9" t="s">
        <v>48</v>
      </c>
      <c r="K557" s="9" t="s">
        <v>880</v>
      </c>
      <c r="L557" s="9" t="s">
        <v>1312</v>
      </c>
      <c r="M557" s="9"/>
      <c r="N557" s="9" t="s">
        <v>1313</v>
      </c>
      <c r="O557" s="9" t="s">
        <v>1882</v>
      </c>
    </row>
    <row r="558" spans="1:15">
      <c r="A558" s="9" t="s">
        <v>6</v>
      </c>
      <c r="B558" s="9" t="s">
        <v>1756</v>
      </c>
      <c r="C558" s="9" t="s">
        <v>891</v>
      </c>
      <c r="D558" s="9" t="s">
        <v>891</v>
      </c>
      <c r="E558" s="9" t="s">
        <v>1883</v>
      </c>
      <c r="F558" s="9" t="s">
        <v>274</v>
      </c>
      <c r="G558" s="9" t="s">
        <v>12</v>
      </c>
      <c r="H558" s="9" t="s">
        <v>49</v>
      </c>
      <c r="I558" s="9" t="s">
        <v>49</v>
      </c>
      <c r="J558" s="9" t="s">
        <v>48</v>
      </c>
      <c r="K558" s="9" t="s">
        <v>893</v>
      </c>
      <c r="L558" s="9" t="s">
        <v>894</v>
      </c>
      <c r="M558" s="9"/>
      <c r="N558" s="9" t="s">
        <v>110</v>
      </c>
      <c r="O558" s="9" t="s">
        <v>1884</v>
      </c>
    </row>
  </sheetData>
  <mergeCells count="2">
    <mergeCell ref="A1:O1"/>
    <mergeCell ref="A2:O2"/>
  </mergeCells>
  <conditionalFormatting sqref="G5:G558">
    <cfRule type="containsText" dxfId="12" priority="1" operator="containsText" text="Mandatory"/>
    <cfRule type="containsText" dxfId="11" priority="2" operator="containsText" text="Conditional"/>
    <cfRule type="containsText" dxfId="10" priority="3" operator="containsText" text="Optional"/>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2"/>
  <sheetViews>
    <sheetView showGridLines="0" workbookViewId="0">
      <pane ySplit="12" topLeftCell="A13" activePane="bottomLeft" state="frozen"/>
      <selection pane="bottomLeft"/>
    </sheetView>
  </sheetViews>
  <sheetFormatPr defaultRowHeight="15"/>
  <cols>
    <col min="1" max="1" width="12" customWidth="1"/>
    <col min="2" max="2" width="18" customWidth="1"/>
    <col min="3" max="3" width="22" customWidth="1"/>
    <col min="4" max="4" width="48" customWidth="1"/>
    <col min="5" max="5" width="40" customWidth="1"/>
    <col min="6" max="6" width="14" customWidth="1"/>
    <col min="7" max="7" width="13" customWidth="1"/>
    <col min="8" max="8" width="22" customWidth="1"/>
    <col min="9" max="9" width="34" customWidth="1"/>
    <col min="10" max="12" width="48" customWidth="1"/>
    <col min="13" max="13" width="18" customWidth="1"/>
    <col min="14" max="14" width="16" customWidth="1"/>
  </cols>
  <sheetData>
    <row r="1" spans="1:14" ht="32.1" customHeight="1">
      <c r="A1" s="22" t="s">
        <v>1885</v>
      </c>
      <c r="B1" s="22"/>
      <c r="C1" s="22"/>
      <c r="D1" s="22"/>
      <c r="E1" s="22"/>
      <c r="F1" s="22"/>
      <c r="G1" s="22"/>
      <c r="H1" s="22"/>
      <c r="I1" s="22"/>
      <c r="J1" s="22"/>
      <c r="K1" s="22"/>
      <c r="L1" s="22"/>
      <c r="M1" s="22"/>
      <c r="N1" s="22"/>
    </row>
    <row r="2" spans="1:14" ht="33.950000000000003" customHeight="1">
      <c r="A2" s="18" t="s">
        <v>1886</v>
      </c>
      <c r="B2" s="18"/>
      <c r="C2" s="18"/>
      <c r="D2" s="18"/>
      <c r="E2" s="18"/>
      <c r="F2" s="18"/>
      <c r="G2" s="18"/>
      <c r="H2" s="18"/>
      <c r="I2" s="18"/>
      <c r="J2" s="18"/>
      <c r="K2" s="18"/>
      <c r="L2" s="18"/>
      <c r="M2" s="18"/>
      <c r="N2" s="18"/>
    </row>
    <row r="4" spans="1:14">
      <c r="A4" s="24" t="s">
        <v>1887</v>
      </c>
      <c r="B4" s="24"/>
      <c r="C4" s="24"/>
      <c r="D4" s="24"/>
      <c r="E4" s="24"/>
      <c r="F4" s="24"/>
      <c r="G4" s="24"/>
      <c r="H4" s="24"/>
      <c r="I4" s="24"/>
      <c r="J4" s="24"/>
      <c r="K4" s="24"/>
      <c r="L4" s="24"/>
      <c r="M4" s="24"/>
      <c r="N4" s="24"/>
    </row>
    <row r="5" spans="1:14" ht="30" customHeight="1">
      <c r="A5" s="10" t="s">
        <v>1888</v>
      </c>
      <c r="B5" s="21" t="s">
        <v>1889</v>
      </c>
      <c r="C5" s="21"/>
      <c r="D5" s="21"/>
      <c r="E5" s="21"/>
      <c r="F5" s="21"/>
      <c r="G5" s="21"/>
      <c r="H5" s="21"/>
      <c r="I5" s="21"/>
      <c r="J5" s="21"/>
      <c r="K5" s="21"/>
      <c r="L5" s="21"/>
      <c r="M5" s="21"/>
      <c r="N5" s="21"/>
    </row>
    <row r="6" spans="1:14" ht="30" customHeight="1">
      <c r="A6" s="10" t="s">
        <v>1890</v>
      </c>
      <c r="B6" s="21" t="s">
        <v>1891</v>
      </c>
      <c r="C6" s="21"/>
      <c r="D6" s="21"/>
      <c r="E6" s="21"/>
      <c r="F6" s="21"/>
      <c r="G6" s="21"/>
      <c r="H6" s="21"/>
      <c r="I6" s="21"/>
      <c r="J6" s="21"/>
      <c r="K6" s="21"/>
      <c r="L6" s="21"/>
      <c r="M6" s="21"/>
      <c r="N6" s="21"/>
    </row>
    <row r="7" spans="1:14" ht="30" customHeight="1">
      <c r="A7" s="10" t="s">
        <v>1892</v>
      </c>
      <c r="B7" s="21" t="s">
        <v>1893</v>
      </c>
      <c r="C7" s="21"/>
      <c r="D7" s="21"/>
      <c r="E7" s="21"/>
      <c r="F7" s="21"/>
      <c r="G7" s="21"/>
      <c r="H7" s="21"/>
      <c r="I7" s="21"/>
      <c r="J7" s="21"/>
      <c r="K7" s="21"/>
      <c r="L7" s="21"/>
      <c r="M7" s="21"/>
      <c r="N7" s="21"/>
    </row>
    <row r="8" spans="1:14" ht="30" customHeight="1">
      <c r="A8" s="10" t="s">
        <v>1894</v>
      </c>
      <c r="B8" s="21" t="s">
        <v>1895</v>
      </c>
      <c r="C8" s="21"/>
      <c r="D8" s="21"/>
      <c r="E8" s="21"/>
      <c r="F8" s="21"/>
      <c r="G8" s="21"/>
      <c r="H8" s="21"/>
      <c r="I8" s="21"/>
      <c r="J8" s="21"/>
      <c r="K8" s="21"/>
      <c r="L8" s="21"/>
      <c r="M8" s="21"/>
      <c r="N8" s="21"/>
    </row>
    <row r="9" spans="1:14" ht="30" customHeight="1">
      <c r="A9" s="10" t="s">
        <v>1896</v>
      </c>
      <c r="B9" s="21" t="s">
        <v>1897</v>
      </c>
      <c r="C9" s="21"/>
      <c r="D9" s="21"/>
      <c r="E9" s="21"/>
      <c r="F9" s="21"/>
      <c r="G9" s="21"/>
      <c r="H9" s="21"/>
      <c r="I9" s="21"/>
      <c r="J9" s="21"/>
      <c r="K9" s="21"/>
      <c r="L9" s="21"/>
      <c r="M9" s="21"/>
      <c r="N9" s="21"/>
    </row>
    <row r="10" spans="1:14" ht="30" customHeight="1">
      <c r="A10" s="10" t="s">
        <v>1898</v>
      </c>
      <c r="B10" s="21" t="s">
        <v>1899</v>
      </c>
      <c r="C10" s="21"/>
      <c r="D10" s="21"/>
      <c r="E10" s="21"/>
      <c r="F10" s="21"/>
      <c r="G10" s="21"/>
      <c r="H10" s="21"/>
      <c r="I10" s="21"/>
      <c r="J10" s="21"/>
      <c r="K10" s="21"/>
      <c r="L10" s="21"/>
      <c r="M10" s="21"/>
      <c r="N10" s="21"/>
    </row>
    <row r="12" spans="1:14" ht="38.1" customHeight="1">
      <c r="A12" s="8" t="s">
        <v>1900</v>
      </c>
      <c r="B12" s="8" t="s">
        <v>1901</v>
      </c>
      <c r="C12" s="8" t="s">
        <v>37</v>
      </c>
      <c r="D12" s="8" t="s">
        <v>1902</v>
      </c>
      <c r="E12" s="8" t="s">
        <v>1903</v>
      </c>
      <c r="F12" s="8" t="s">
        <v>1904</v>
      </c>
      <c r="G12" s="8" t="s">
        <v>1905</v>
      </c>
      <c r="H12" s="8" t="s">
        <v>1906</v>
      </c>
      <c r="I12" s="8" t="s">
        <v>1907</v>
      </c>
      <c r="J12" s="8" t="s">
        <v>1908</v>
      </c>
    </row>
    <row r="13" spans="1:14">
      <c r="A13" s="9" t="s">
        <v>1909</v>
      </c>
      <c r="B13" s="9" t="s">
        <v>1910</v>
      </c>
      <c r="C13" s="9" t="s">
        <v>10</v>
      </c>
      <c r="D13" s="9" t="s">
        <v>1911</v>
      </c>
      <c r="E13" s="9" t="s">
        <v>1912</v>
      </c>
      <c r="F13" s="9" t="s">
        <v>1913</v>
      </c>
      <c r="G13" s="9" t="s">
        <v>1914</v>
      </c>
      <c r="H13" s="9" t="s">
        <v>48</v>
      </c>
      <c r="I13" s="9" t="s">
        <v>49</v>
      </c>
      <c r="J13" s="9" t="s">
        <v>1915</v>
      </c>
    </row>
    <row r="14" spans="1:14">
      <c r="A14" s="9" t="s">
        <v>1909</v>
      </c>
      <c r="B14" s="9" t="s">
        <v>1916</v>
      </c>
      <c r="C14" s="9" t="s">
        <v>10</v>
      </c>
      <c r="D14" s="9" t="s">
        <v>1911</v>
      </c>
      <c r="E14" s="9" t="s">
        <v>402</v>
      </c>
      <c r="F14" s="9" t="s">
        <v>1917</v>
      </c>
      <c r="G14" s="9" t="s">
        <v>1918</v>
      </c>
      <c r="H14" s="9" t="s">
        <v>48</v>
      </c>
      <c r="I14" s="9" t="s">
        <v>49</v>
      </c>
      <c r="J14" s="9" t="s">
        <v>1919</v>
      </c>
    </row>
    <row r="15" spans="1:14">
      <c r="A15" s="9" t="s">
        <v>1920</v>
      </c>
      <c r="B15" s="9" t="s">
        <v>1921</v>
      </c>
      <c r="C15" s="9" t="s">
        <v>10</v>
      </c>
      <c r="D15" s="9" t="s">
        <v>1922</v>
      </c>
      <c r="E15" s="9" t="s">
        <v>1923</v>
      </c>
      <c r="F15" s="9" t="s">
        <v>1924</v>
      </c>
      <c r="G15" s="9" t="s">
        <v>1925</v>
      </c>
      <c r="H15" s="9" t="s">
        <v>48</v>
      </c>
      <c r="I15" s="9" t="s">
        <v>49</v>
      </c>
      <c r="J15" s="9" t="s">
        <v>1926</v>
      </c>
    </row>
    <row r="16" spans="1:14">
      <c r="A16" s="9" t="s">
        <v>1927</v>
      </c>
      <c r="B16" s="9" t="s">
        <v>1896</v>
      </c>
      <c r="C16" s="9" t="s">
        <v>10</v>
      </c>
      <c r="D16" s="9" t="s">
        <v>1911</v>
      </c>
      <c r="E16" s="9" t="s">
        <v>1928</v>
      </c>
      <c r="F16" s="9" t="s">
        <v>1929</v>
      </c>
      <c r="G16" s="9" t="s">
        <v>1930</v>
      </c>
      <c r="H16" s="9" t="s">
        <v>48</v>
      </c>
      <c r="I16" s="9" t="s">
        <v>1931</v>
      </c>
      <c r="J16" s="9" t="s">
        <v>1932</v>
      </c>
    </row>
    <row r="17" spans="1:10">
      <c r="A17" s="9" t="s">
        <v>1933</v>
      </c>
      <c r="B17" s="9" t="s">
        <v>1934</v>
      </c>
      <c r="C17" s="9" t="s">
        <v>10</v>
      </c>
      <c r="D17" s="9" t="s">
        <v>1935</v>
      </c>
      <c r="E17" s="9" t="s">
        <v>1936</v>
      </c>
      <c r="F17" s="9" t="s">
        <v>1937</v>
      </c>
      <c r="G17" s="9" t="s">
        <v>1938</v>
      </c>
      <c r="H17" s="9" t="s">
        <v>48</v>
      </c>
      <c r="I17" s="9" t="s">
        <v>1931</v>
      </c>
      <c r="J17" s="9" t="s">
        <v>1939</v>
      </c>
    </row>
    <row r="18" spans="1:10">
      <c r="A18" s="9" t="s">
        <v>1940</v>
      </c>
      <c r="B18" s="9" t="s">
        <v>1941</v>
      </c>
      <c r="C18" s="9" t="s">
        <v>10</v>
      </c>
      <c r="D18" s="9" t="s">
        <v>1911</v>
      </c>
      <c r="E18" s="9" t="s">
        <v>1942</v>
      </c>
      <c r="F18" s="9" t="s">
        <v>1943</v>
      </c>
      <c r="G18" s="9" t="s">
        <v>1944</v>
      </c>
      <c r="H18" s="9" t="s">
        <v>48</v>
      </c>
      <c r="I18" s="9" t="s">
        <v>48</v>
      </c>
      <c r="J18" s="9" t="s">
        <v>1945</v>
      </c>
    </row>
    <row r="19" spans="1:10">
      <c r="A19" s="9" t="s">
        <v>1940</v>
      </c>
      <c r="B19" s="9" t="s">
        <v>1946</v>
      </c>
      <c r="C19" s="9" t="s">
        <v>10</v>
      </c>
      <c r="D19" s="9" t="s">
        <v>1947</v>
      </c>
      <c r="E19" s="9" t="s">
        <v>1948</v>
      </c>
      <c r="F19" s="9" t="s">
        <v>1949</v>
      </c>
      <c r="G19" s="9" t="s">
        <v>1950</v>
      </c>
      <c r="H19" s="9" t="s">
        <v>48</v>
      </c>
      <c r="I19" s="9" t="s">
        <v>48</v>
      </c>
      <c r="J19" s="9" t="s">
        <v>1951</v>
      </c>
    </row>
    <row r="20" spans="1:10">
      <c r="A20" s="9" t="s">
        <v>1952</v>
      </c>
      <c r="B20" s="9" t="s">
        <v>1953</v>
      </c>
      <c r="C20" s="9" t="s">
        <v>10</v>
      </c>
      <c r="D20" s="9" t="s">
        <v>1935</v>
      </c>
      <c r="E20" s="9" t="s">
        <v>1954</v>
      </c>
      <c r="F20" s="9" t="s">
        <v>1955</v>
      </c>
      <c r="G20" s="9" t="s">
        <v>1956</v>
      </c>
      <c r="H20" s="9" t="s">
        <v>48</v>
      </c>
      <c r="I20" s="9" t="s">
        <v>49</v>
      </c>
      <c r="J20" s="9" t="s">
        <v>1957</v>
      </c>
    </row>
    <row r="21" spans="1:10">
      <c r="A21" s="9" t="s">
        <v>1952</v>
      </c>
      <c r="B21" s="9" t="s">
        <v>1958</v>
      </c>
      <c r="C21" s="9" t="s">
        <v>10</v>
      </c>
      <c r="D21" s="9" t="s">
        <v>1959</v>
      </c>
      <c r="E21" s="9" t="s">
        <v>1960</v>
      </c>
      <c r="F21" s="9" t="s">
        <v>1961</v>
      </c>
      <c r="G21" s="9" t="s">
        <v>1962</v>
      </c>
      <c r="H21" s="9" t="s">
        <v>48</v>
      </c>
      <c r="I21" s="9" t="s">
        <v>49</v>
      </c>
      <c r="J21" s="9" t="s">
        <v>1963</v>
      </c>
    </row>
    <row r="22" spans="1:10">
      <c r="A22" s="9" t="s">
        <v>1964</v>
      </c>
      <c r="B22" s="9" t="s">
        <v>1965</v>
      </c>
      <c r="C22" s="9" t="s">
        <v>10</v>
      </c>
      <c r="D22" s="9" t="s">
        <v>1966</v>
      </c>
      <c r="E22" s="9" t="s">
        <v>1967</v>
      </c>
      <c r="F22" s="9" t="s">
        <v>1968</v>
      </c>
      <c r="G22" s="9" t="s">
        <v>1969</v>
      </c>
      <c r="H22" s="9" t="s">
        <v>48</v>
      </c>
      <c r="I22" s="9" t="s">
        <v>49</v>
      </c>
      <c r="J22" s="9" t="s">
        <v>1970</v>
      </c>
    </row>
    <row r="23" spans="1:10">
      <c r="A23" s="9" t="s">
        <v>1964</v>
      </c>
      <c r="B23" s="9" t="s">
        <v>1971</v>
      </c>
      <c r="C23" s="9" t="s">
        <v>12</v>
      </c>
      <c r="D23" s="9" t="s">
        <v>1966</v>
      </c>
      <c r="E23" s="9" t="s">
        <v>1972</v>
      </c>
      <c r="F23" s="9" t="s">
        <v>1973</v>
      </c>
      <c r="G23" s="9" t="s">
        <v>1974</v>
      </c>
      <c r="H23" s="9" t="s">
        <v>48</v>
      </c>
      <c r="I23" s="9" t="s">
        <v>49</v>
      </c>
      <c r="J23" s="9" t="s">
        <v>1975</v>
      </c>
    </row>
    <row r="24" spans="1:10">
      <c r="A24" s="9" t="s">
        <v>1964</v>
      </c>
      <c r="B24" s="9" t="s">
        <v>1976</v>
      </c>
      <c r="C24" s="9" t="s">
        <v>12</v>
      </c>
      <c r="D24" s="9" t="s">
        <v>1935</v>
      </c>
      <c r="E24" s="9" t="s">
        <v>1977</v>
      </c>
      <c r="F24" s="9" t="s">
        <v>1978</v>
      </c>
      <c r="G24" s="9" t="s">
        <v>1979</v>
      </c>
      <c r="H24" s="9" t="s">
        <v>48</v>
      </c>
      <c r="I24" s="9" t="s">
        <v>49</v>
      </c>
      <c r="J24" s="9" t="s">
        <v>1980</v>
      </c>
    </row>
    <row r="25" spans="1:10">
      <c r="A25" s="9" t="s">
        <v>1964</v>
      </c>
      <c r="B25" s="9" t="s">
        <v>1981</v>
      </c>
      <c r="C25" s="9" t="s">
        <v>12</v>
      </c>
      <c r="D25" s="9" t="s">
        <v>1935</v>
      </c>
      <c r="E25" s="9" t="s">
        <v>1982</v>
      </c>
      <c r="F25" s="9" t="s">
        <v>1983</v>
      </c>
      <c r="G25" s="9" t="s">
        <v>1979</v>
      </c>
      <c r="H25" s="9" t="s">
        <v>48</v>
      </c>
      <c r="I25" s="9" t="s">
        <v>49</v>
      </c>
      <c r="J25" s="9" t="s">
        <v>1984</v>
      </c>
    </row>
    <row r="26" spans="1:10">
      <c r="A26" s="9" t="s">
        <v>1964</v>
      </c>
      <c r="B26" s="9" t="s">
        <v>1985</v>
      </c>
      <c r="C26" s="9" t="s">
        <v>12</v>
      </c>
      <c r="D26" s="9" t="s">
        <v>1935</v>
      </c>
      <c r="E26" s="9" t="s">
        <v>1986</v>
      </c>
      <c r="F26" s="9" t="s">
        <v>1987</v>
      </c>
      <c r="G26" s="9" t="s">
        <v>1988</v>
      </c>
      <c r="H26" s="9" t="s">
        <v>48</v>
      </c>
      <c r="I26" s="9" t="s">
        <v>48</v>
      </c>
      <c r="J26" s="9" t="s">
        <v>1989</v>
      </c>
    </row>
    <row r="27" spans="1:10">
      <c r="A27" s="9" t="s">
        <v>1990</v>
      </c>
      <c r="B27" s="9" t="s">
        <v>1991</v>
      </c>
      <c r="C27" s="9" t="s">
        <v>10</v>
      </c>
      <c r="D27" s="9" t="s">
        <v>1992</v>
      </c>
      <c r="E27" s="9" t="s">
        <v>1993</v>
      </c>
      <c r="F27" s="9" t="s">
        <v>1994</v>
      </c>
      <c r="G27" s="9" t="s">
        <v>1995</v>
      </c>
      <c r="H27" s="9" t="s">
        <v>48</v>
      </c>
      <c r="I27" s="9" t="s">
        <v>49</v>
      </c>
      <c r="J27" s="9" t="s">
        <v>1996</v>
      </c>
    </row>
    <row r="28" spans="1:10">
      <c r="A28" s="9" t="s">
        <v>1990</v>
      </c>
      <c r="B28" s="9" t="s">
        <v>1997</v>
      </c>
      <c r="C28" s="9" t="s">
        <v>10</v>
      </c>
      <c r="D28" s="9" t="s">
        <v>1998</v>
      </c>
      <c r="E28" s="9" t="s">
        <v>1999</v>
      </c>
      <c r="F28" s="9" t="s">
        <v>2000</v>
      </c>
      <c r="G28" s="9" t="s">
        <v>2001</v>
      </c>
      <c r="H28" s="9" t="s">
        <v>48</v>
      </c>
      <c r="I28" s="9" t="s">
        <v>49</v>
      </c>
      <c r="J28" s="9" t="s">
        <v>2002</v>
      </c>
    </row>
    <row r="29" spans="1:10">
      <c r="A29" s="9" t="s">
        <v>1990</v>
      </c>
      <c r="B29" s="9" t="s">
        <v>2003</v>
      </c>
      <c r="C29" s="9" t="s">
        <v>14</v>
      </c>
      <c r="D29" s="9" t="s">
        <v>2004</v>
      </c>
      <c r="E29" s="9" t="s">
        <v>2005</v>
      </c>
      <c r="F29" s="9" t="s">
        <v>2006</v>
      </c>
      <c r="G29" s="9" t="s">
        <v>2007</v>
      </c>
      <c r="H29" s="9" t="s">
        <v>48</v>
      </c>
      <c r="I29" s="9" t="s">
        <v>49</v>
      </c>
      <c r="J29" s="9" t="s">
        <v>2008</v>
      </c>
    </row>
    <row r="30" spans="1:10">
      <c r="A30" s="9" t="s">
        <v>2009</v>
      </c>
      <c r="B30" s="9" t="s">
        <v>2010</v>
      </c>
      <c r="C30" s="9" t="s">
        <v>10</v>
      </c>
      <c r="D30" s="9" t="s">
        <v>2011</v>
      </c>
      <c r="E30" s="9" t="s">
        <v>2012</v>
      </c>
      <c r="F30" s="9" t="s">
        <v>2013</v>
      </c>
      <c r="G30" s="9" t="s">
        <v>2014</v>
      </c>
      <c r="H30" s="9" t="s">
        <v>48</v>
      </c>
      <c r="I30" s="9" t="s">
        <v>49</v>
      </c>
      <c r="J30" s="9" t="s">
        <v>2015</v>
      </c>
    </row>
    <row r="34" spans="1:14">
      <c r="A34" s="24" t="s">
        <v>2016</v>
      </c>
      <c r="B34" s="24"/>
      <c r="C34" s="24"/>
      <c r="D34" s="24"/>
      <c r="E34" s="24"/>
      <c r="F34" s="24"/>
      <c r="G34" s="24"/>
      <c r="H34" s="24"/>
      <c r="I34" s="24"/>
      <c r="J34" s="24"/>
      <c r="K34" s="24"/>
      <c r="L34" s="24"/>
      <c r="M34" s="24"/>
      <c r="N34" s="24"/>
    </row>
    <row r="35" spans="1:14">
      <c r="A35" s="20" t="s">
        <v>2017</v>
      </c>
      <c r="B35" s="20"/>
      <c r="C35" s="20"/>
      <c r="D35" s="20"/>
      <c r="E35" s="20"/>
      <c r="F35" s="20"/>
      <c r="G35" s="20"/>
      <c r="H35" s="20"/>
      <c r="I35" s="20"/>
      <c r="J35" s="20"/>
      <c r="K35" s="20"/>
      <c r="L35" s="20"/>
      <c r="M35" s="20"/>
      <c r="N35" s="20"/>
    </row>
    <row r="36" spans="1:14">
      <c r="A36" s="20"/>
      <c r="B36" s="20"/>
      <c r="C36" s="20"/>
      <c r="D36" s="20"/>
      <c r="E36" s="20"/>
      <c r="F36" s="20"/>
      <c r="G36" s="20"/>
      <c r="H36" s="20"/>
      <c r="I36" s="20"/>
      <c r="J36" s="20"/>
      <c r="K36" s="20"/>
      <c r="L36" s="20"/>
      <c r="M36" s="20"/>
      <c r="N36" s="20"/>
    </row>
    <row r="37" spans="1:14" ht="38.1" customHeight="1">
      <c r="A37" s="11" t="s">
        <v>1892</v>
      </c>
      <c r="B37" s="12" t="s">
        <v>2018</v>
      </c>
      <c r="C37" s="12" t="s">
        <v>2019</v>
      </c>
      <c r="D37" s="12" t="s">
        <v>2020</v>
      </c>
      <c r="E37" s="12" t="s">
        <v>2021</v>
      </c>
      <c r="F37" s="12" t="s">
        <v>2022</v>
      </c>
      <c r="G37" s="12" t="s">
        <v>2023</v>
      </c>
      <c r="H37" s="12" t="s">
        <v>2024</v>
      </c>
      <c r="I37" s="13" t="s">
        <v>2025</v>
      </c>
      <c r="J37" s="12" t="s">
        <v>2026</v>
      </c>
      <c r="K37" s="12" t="s">
        <v>2027</v>
      </c>
      <c r="L37" s="12" t="s">
        <v>2028</v>
      </c>
      <c r="M37" s="12" t="s">
        <v>2029</v>
      </c>
      <c r="N37" s="12" t="s">
        <v>2030</v>
      </c>
    </row>
    <row r="38" spans="1:14">
      <c r="A38" s="14">
        <v>2</v>
      </c>
      <c r="B38" s="15" t="s">
        <v>2031</v>
      </c>
      <c r="C38" s="15" t="s">
        <v>2032</v>
      </c>
      <c r="D38" s="15" t="s">
        <v>2033</v>
      </c>
      <c r="E38" s="15" t="s">
        <v>2034</v>
      </c>
      <c r="F38" s="15" t="s">
        <v>2035</v>
      </c>
      <c r="G38" s="15" t="s">
        <v>48</v>
      </c>
      <c r="H38" s="15" t="s">
        <v>48</v>
      </c>
      <c r="I38" s="16" t="s">
        <v>2036</v>
      </c>
      <c r="J38" s="15" t="s">
        <v>2037</v>
      </c>
      <c r="K38" s="15" t="s">
        <v>2038</v>
      </c>
      <c r="L38" s="15" t="s">
        <v>2039</v>
      </c>
      <c r="M38" s="15"/>
      <c r="N38" s="15"/>
    </row>
    <row r="39" spans="1:14">
      <c r="A39" s="14">
        <v>7</v>
      </c>
      <c r="B39" s="15" t="s">
        <v>2040</v>
      </c>
      <c r="C39" s="15" t="s">
        <v>2041</v>
      </c>
      <c r="D39" s="15" t="s">
        <v>2042</v>
      </c>
      <c r="E39" s="15" t="s">
        <v>2043</v>
      </c>
      <c r="F39" s="15" t="s">
        <v>2035</v>
      </c>
      <c r="G39" s="15" t="s">
        <v>48</v>
      </c>
      <c r="H39" s="15" t="s">
        <v>48</v>
      </c>
      <c r="I39" s="16" t="s">
        <v>2044</v>
      </c>
      <c r="J39" s="15" t="s">
        <v>2045</v>
      </c>
      <c r="K39" s="15" t="s">
        <v>2046</v>
      </c>
      <c r="L39" s="15"/>
      <c r="M39" s="15"/>
      <c r="N39" s="15"/>
    </row>
    <row r="40" spans="1:14">
      <c r="A40" s="14">
        <v>9</v>
      </c>
      <c r="B40" s="15" t="s">
        <v>2047</v>
      </c>
      <c r="C40" s="15" t="s">
        <v>2032</v>
      </c>
      <c r="D40" s="15" t="s">
        <v>2048</v>
      </c>
      <c r="E40" s="15" t="s">
        <v>2049</v>
      </c>
      <c r="F40" s="15" t="s">
        <v>2035</v>
      </c>
      <c r="G40" s="15" t="s">
        <v>48</v>
      </c>
      <c r="H40" s="15" t="s">
        <v>48</v>
      </c>
      <c r="I40" s="16" t="s">
        <v>2050</v>
      </c>
      <c r="J40" s="15" t="s">
        <v>2051</v>
      </c>
      <c r="K40" s="15" t="s">
        <v>2052</v>
      </c>
      <c r="L40" s="15"/>
      <c r="M40" s="15"/>
      <c r="N40" s="15"/>
    </row>
    <row r="41" spans="1:14">
      <c r="A41" s="14">
        <v>37</v>
      </c>
      <c r="B41" s="15" t="s">
        <v>2053</v>
      </c>
      <c r="C41" s="15" t="s">
        <v>2054</v>
      </c>
      <c r="D41" s="15" t="s">
        <v>2055</v>
      </c>
      <c r="E41" s="15" t="s">
        <v>2056</v>
      </c>
      <c r="F41" s="15" t="s">
        <v>2057</v>
      </c>
      <c r="G41" s="15" t="s">
        <v>49</v>
      </c>
      <c r="H41" s="15" t="s">
        <v>49</v>
      </c>
      <c r="I41" s="16" t="s">
        <v>2058</v>
      </c>
      <c r="J41" s="15" t="s">
        <v>2059</v>
      </c>
      <c r="K41" s="15" t="s">
        <v>2060</v>
      </c>
      <c r="L41" s="15" t="s">
        <v>2061</v>
      </c>
      <c r="M41" s="15" t="s">
        <v>2062</v>
      </c>
      <c r="N41" s="15" t="s">
        <v>2063</v>
      </c>
    </row>
    <row r="42" spans="1:14">
      <c r="A42" s="14">
        <v>60</v>
      </c>
      <c r="B42" s="15" t="s">
        <v>2064</v>
      </c>
      <c r="C42" s="15" t="s">
        <v>2065</v>
      </c>
      <c r="D42" s="15" t="s">
        <v>2066</v>
      </c>
      <c r="E42" s="15" t="s">
        <v>2067</v>
      </c>
      <c r="F42" s="15" t="s">
        <v>2035</v>
      </c>
      <c r="G42" s="15" t="s">
        <v>48</v>
      </c>
      <c r="H42" s="15" t="s">
        <v>48</v>
      </c>
      <c r="I42" s="16" t="s">
        <v>2068</v>
      </c>
      <c r="J42" s="15" t="s">
        <v>2069</v>
      </c>
      <c r="K42" s="15" t="s">
        <v>2070</v>
      </c>
      <c r="L42" s="15" t="s">
        <v>2071</v>
      </c>
      <c r="M42" s="15"/>
      <c r="N42" s="15"/>
    </row>
    <row r="43" spans="1:14">
      <c r="A43" s="14">
        <v>88</v>
      </c>
      <c r="B43" s="15" t="s">
        <v>2072</v>
      </c>
      <c r="C43" s="15" t="s">
        <v>2065</v>
      </c>
      <c r="D43" s="15" t="s">
        <v>2073</v>
      </c>
      <c r="E43" s="15" t="s">
        <v>2074</v>
      </c>
      <c r="F43" s="15" t="s">
        <v>2035</v>
      </c>
      <c r="G43" s="15" t="s">
        <v>48</v>
      </c>
      <c r="H43" s="15" t="s">
        <v>48</v>
      </c>
      <c r="I43" s="16" t="s">
        <v>2075</v>
      </c>
      <c r="J43" s="15" t="s">
        <v>2076</v>
      </c>
      <c r="K43" s="15" t="s">
        <v>2077</v>
      </c>
      <c r="L43" s="15" t="s">
        <v>2078</v>
      </c>
      <c r="M43" s="15"/>
      <c r="N43" s="15"/>
    </row>
    <row r="44" spans="1:14">
      <c r="A44" s="14">
        <v>96</v>
      </c>
      <c r="B44" s="15" t="s">
        <v>2079</v>
      </c>
      <c r="C44" s="15" t="s">
        <v>2080</v>
      </c>
      <c r="D44" s="15" t="s">
        <v>2081</v>
      </c>
      <c r="E44" s="15" t="s">
        <v>2082</v>
      </c>
      <c r="F44" s="15" t="s">
        <v>2035</v>
      </c>
      <c r="G44" s="15" t="s">
        <v>48</v>
      </c>
      <c r="H44" s="15" t="s">
        <v>48</v>
      </c>
      <c r="I44" s="16"/>
      <c r="J44" s="15" t="s">
        <v>2083</v>
      </c>
      <c r="K44" s="15" t="s">
        <v>2084</v>
      </c>
      <c r="L44" s="15" t="s">
        <v>2085</v>
      </c>
      <c r="M44" s="15"/>
      <c r="N44" s="15"/>
    </row>
    <row r="45" spans="1:14">
      <c r="A45" s="14">
        <v>97</v>
      </c>
      <c r="B45" s="15" t="s">
        <v>2086</v>
      </c>
      <c r="C45" s="15" t="s">
        <v>2087</v>
      </c>
      <c r="D45" s="15" t="s">
        <v>2088</v>
      </c>
      <c r="E45" s="15" t="s">
        <v>2089</v>
      </c>
      <c r="F45" s="15" t="s">
        <v>2035</v>
      </c>
      <c r="G45" s="15" t="s">
        <v>48</v>
      </c>
      <c r="H45" s="15" t="s">
        <v>48</v>
      </c>
      <c r="I45" s="16"/>
      <c r="J45" s="15" t="s">
        <v>2090</v>
      </c>
      <c r="K45" s="15" t="s">
        <v>2091</v>
      </c>
      <c r="L45" s="15" t="s">
        <v>2092</v>
      </c>
      <c r="M45" s="15"/>
      <c r="N45" s="15"/>
    </row>
    <row r="46" spans="1:14">
      <c r="A46" s="14">
        <v>106</v>
      </c>
      <c r="B46" s="15" t="s">
        <v>2093</v>
      </c>
      <c r="C46" s="15" t="s">
        <v>2094</v>
      </c>
      <c r="D46" s="15" t="s">
        <v>2095</v>
      </c>
      <c r="E46" s="15" t="s">
        <v>2096</v>
      </c>
      <c r="F46" s="15" t="s">
        <v>2035</v>
      </c>
      <c r="G46" s="15" t="s">
        <v>48</v>
      </c>
      <c r="H46" s="15" t="s">
        <v>48</v>
      </c>
      <c r="I46" s="16"/>
      <c r="J46" s="15" t="s">
        <v>2097</v>
      </c>
      <c r="K46" s="15" t="s">
        <v>2098</v>
      </c>
      <c r="L46" s="15" t="s">
        <v>2099</v>
      </c>
      <c r="M46" s="15"/>
      <c r="N46" s="15"/>
    </row>
    <row r="47" spans="1:14">
      <c r="A47" s="14">
        <v>130</v>
      </c>
      <c r="B47" s="15" t="s">
        <v>2100</v>
      </c>
      <c r="C47" s="15" t="s">
        <v>2065</v>
      </c>
      <c r="D47" s="15" t="s">
        <v>2101</v>
      </c>
      <c r="E47" s="15" t="s">
        <v>2102</v>
      </c>
      <c r="F47" s="15" t="s">
        <v>2035</v>
      </c>
      <c r="G47" s="15" t="s">
        <v>48</v>
      </c>
      <c r="H47" s="15" t="s">
        <v>48</v>
      </c>
      <c r="I47" s="16"/>
      <c r="J47" s="15"/>
      <c r="K47" s="15" t="s">
        <v>2103</v>
      </c>
      <c r="L47" s="15" t="s">
        <v>2104</v>
      </c>
      <c r="M47" s="15"/>
      <c r="N47" s="15"/>
    </row>
    <row r="48" spans="1:14">
      <c r="A48" s="14">
        <v>135</v>
      </c>
      <c r="B48" s="15" t="s">
        <v>2105</v>
      </c>
      <c r="C48" s="15" t="s">
        <v>2087</v>
      </c>
      <c r="D48" s="15" t="s">
        <v>2106</v>
      </c>
      <c r="E48" s="15" t="s">
        <v>2107</v>
      </c>
      <c r="F48" s="15" t="s">
        <v>2035</v>
      </c>
      <c r="G48" s="15" t="s">
        <v>48</v>
      </c>
      <c r="H48" s="15" t="s">
        <v>48</v>
      </c>
      <c r="I48" s="16"/>
      <c r="J48" s="15"/>
      <c r="K48" s="15" t="s">
        <v>2108</v>
      </c>
      <c r="L48" s="15" t="s">
        <v>2109</v>
      </c>
      <c r="M48" s="15"/>
      <c r="N48" s="15"/>
    </row>
    <row r="49" spans="1:14">
      <c r="A49" s="14">
        <v>142</v>
      </c>
      <c r="B49" s="15" t="s">
        <v>2110</v>
      </c>
      <c r="C49" s="15" t="s">
        <v>2087</v>
      </c>
      <c r="D49" s="15" t="s">
        <v>2111</v>
      </c>
      <c r="E49" s="15" t="s">
        <v>2112</v>
      </c>
      <c r="F49" s="15" t="s">
        <v>2035</v>
      </c>
      <c r="G49" s="15" t="s">
        <v>48</v>
      </c>
      <c r="H49" s="15" t="s">
        <v>48</v>
      </c>
      <c r="I49" s="16"/>
      <c r="J49" s="15"/>
      <c r="K49" s="15" t="s">
        <v>2113</v>
      </c>
      <c r="L49" s="15" t="s">
        <v>2109</v>
      </c>
      <c r="M49" s="15"/>
      <c r="N49" s="15"/>
    </row>
    <row r="50" spans="1:14">
      <c r="A50" s="14">
        <v>151</v>
      </c>
      <c r="B50" s="15" t="s">
        <v>2114</v>
      </c>
      <c r="C50" s="15" t="s">
        <v>2115</v>
      </c>
      <c r="D50" s="15" t="s">
        <v>2116</v>
      </c>
      <c r="E50" s="15" t="s">
        <v>2117</v>
      </c>
      <c r="F50" s="15" t="s">
        <v>2035</v>
      </c>
      <c r="G50" s="15" t="s">
        <v>48</v>
      </c>
      <c r="H50" s="15" t="s">
        <v>48</v>
      </c>
      <c r="I50" s="16" t="s">
        <v>2118</v>
      </c>
      <c r="J50" s="15" t="s">
        <v>2119</v>
      </c>
      <c r="K50" s="15" t="s">
        <v>2120</v>
      </c>
      <c r="L50" s="15" t="s">
        <v>2121</v>
      </c>
      <c r="M50" s="15"/>
      <c r="N50" s="15"/>
    </row>
    <row r="51" spans="1:14">
      <c r="A51" s="14">
        <v>158</v>
      </c>
      <c r="B51" s="15" t="s">
        <v>2122</v>
      </c>
      <c r="C51" s="15" t="s">
        <v>2123</v>
      </c>
      <c r="D51" s="15" t="s">
        <v>2124</v>
      </c>
      <c r="E51" s="15" t="s">
        <v>2125</v>
      </c>
      <c r="F51" s="15" t="s">
        <v>2035</v>
      </c>
      <c r="G51" s="15" t="s">
        <v>48</v>
      </c>
      <c r="H51" s="15" t="s">
        <v>48</v>
      </c>
      <c r="I51" s="16"/>
      <c r="J51" s="15" t="s">
        <v>2126</v>
      </c>
      <c r="K51" s="15" t="s">
        <v>2127</v>
      </c>
      <c r="L51" s="15" t="s">
        <v>2128</v>
      </c>
      <c r="M51" s="15"/>
      <c r="N51" s="15"/>
    </row>
    <row r="52" spans="1:14">
      <c r="A52" s="14">
        <v>183</v>
      </c>
      <c r="B52" s="15" t="s">
        <v>2129</v>
      </c>
      <c r="C52" s="15" t="s">
        <v>2130</v>
      </c>
      <c r="D52" s="15" t="s">
        <v>2131</v>
      </c>
      <c r="E52" s="15" t="s">
        <v>2132</v>
      </c>
      <c r="F52" s="15" t="s">
        <v>2035</v>
      </c>
      <c r="G52" s="15" t="s">
        <v>48</v>
      </c>
      <c r="H52" s="15" t="s">
        <v>48</v>
      </c>
      <c r="I52" s="16"/>
      <c r="J52" s="15" t="s">
        <v>2133</v>
      </c>
      <c r="K52" s="15" t="s">
        <v>2134</v>
      </c>
      <c r="L52" s="15" t="s">
        <v>2135</v>
      </c>
      <c r="M52" s="15"/>
      <c r="N52" s="15"/>
    </row>
    <row r="53" spans="1:14">
      <c r="A53" s="14">
        <v>184</v>
      </c>
      <c r="B53" s="15" t="s">
        <v>2136</v>
      </c>
      <c r="C53" s="15" t="s">
        <v>2080</v>
      </c>
      <c r="D53" s="15" t="s">
        <v>2137</v>
      </c>
      <c r="E53" s="15" t="s">
        <v>2082</v>
      </c>
      <c r="F53" s="15" t="s">
        <v>2035</v>
      </c>
      <c r="G53" s="15" t="s">
        <v>48</v>
      </c>
      <c r="H53" s="15" t="s">
        <v>48</v>
      </c>
      <c r="I53" s="16"/>
      <c r="J53" s="15" t="s">
        <v>2138</v>
      </c>
      <c r="K53" s="15" t="s">
        <v>2139</v>
      </c>
      <c r="L53" s="15" t="s">
        <v>2140</v>
      </c>
      <c r="M53" s="15"/>
      <c r="N53" s="15"/>
    </row>
    <row r="54" spans="1:14">
      <c r="A54" s="14">
        <v>188</v>
      </c>
      <c r="B54" s="15" t="s">
        <v>2141</v>
      </c>
      <c r="C54" s="15" t="s">
        <v>2142</v>
      </c>
      <c r="D54" s="15" t="s">
        <v>2143</v>
      </c>
      <c r="E54" s="15" t="s">
        <v>2144</v>
      </c>
      <c r="F54" s="15" t="s">
        <v>2035</v>
      </c>
      <c r="G54" s="15" t="s">
        <v>48</v>
      </c>
      <c r="H54" s="15" t="s">
        <v>48</v>
      </c>
      <c r="I54" s="16"/>
      <c r="J54" s="15"/>
      <c r="K54" s="15" t="s">
        <v>2145</v>
      </c>
      <c r="L54" s="15"/>
      <c r="M54" s="15"/>
      <c r="N54" s="15"/>
    </row>
    <row r="55" spans="1:14">
      <c r="A55" s="14">
        <v>190</v>
      </c>
      <c r="B55" s="15" t="s">
        <v>2146</v>
      </c>
      <c r="C55" s="15" t="s">
        <v>2094</v>
      </c>
      <c r="D55" s="15" t="s">
        <v>2147</v>
      </c>
      <c r="E55" s="15" t="s">
        <v>2148</v>
      </c>
      <c r="F55" s="15" t="s">
        <v>2035</v>
      </c>
      <c r="G55" s="15" t="s">
        <v>48</v>
      </c>
      <c r="H55" s="15" t="s">
        <v>48</v>
      </c>
      <c r="I55" s="16" t="s">
        <v>2149</v>
      </c>
      <c r="J55" s="15" t="s">
        <v>2150</v>
      </c>
      <c r="K55" s="15" t="s">
        <v>2151</v>
      </c>
      <c r="L55" s="15" t="s">
        <v>2152</v>
      </c>
      <c r="M55" s="15"/>
      <c r="N55" s="15"/>
    </row>
    <row r="56" spans="1:14">
      <c r="A56" s="14">
        <v>191</v>
      </c>
      <c r="B56" s="15" t="s">
        <v>2153</v>
      </c>
      <c r="C56" s="15" t="s">
        <v>2154</v>
      </c>
      <c r="D56" s="15" t="s">
        <v>2155</v>
      </c>
      <c r="E56" s="15" t="s">
        <v>2156</v>
      </c>
      <c r="F56" s="15" t="s">
        <v>2035</v>
      </c>
      <c r="G56" s="15" t="s">
        <v>48</v>
      </c>
      <c r="H56" s="15" t="s">
        <v>48</v>
      </c>
      <c r="I56" s="16" t="s">
        <v>2157</v>
      </c>
      <c r="J56" s="15" t="s">
        <v>2158</v>
      </c>
      <c r="K56" s="15" t="s">
        <v>2159</v>
      </c>
      <c r="L56" s="15" t="s">
        <v>2160</v>
      </c>
      <c r="M56" s="15"/>
      <c r="N56" s="15"/>
    </row>
    <row r="57" spans="1:14">
      <c r="A57" s="14">
        <v>192</v>
      </c>
      <c r="B57" s="15" t="s">
        <v>2161</v>
      </c>
      <c r="C57" s="15" t="s">
        <v>2162</v>
      </c>
      <c r="D57" s="15" t="s">
        <v>2163</v>
      </c>
      <c r="E57" s="15" t="s">
        <v>2164</v>
      </c>
      <c r="F57" s="15" t="s">
        <v>2035</v>
      </c>
      <c r="G57" s="15" t="s">
        <v>48</v>
      </c>
      <c r="H57" s="15" t="s">
        <v>48</v>
      </c>
      <c r="I57" s="16" t="s">
        <v>2165</v>
      </c>
      <c r="J57" s="15" t="s">
        <v>2166</v>
      </c>
      <c r="K57" s="15" t="s">
        <v>2167</v>
      </c>
      <c r="L57" s="15"/>
      <c r="M57" s="15"/>
      <c r="N57" s="15"/>
    </row>
    <row r="58" spans="1:14">
      <c r="A58" s="14">
        <v>193</v>
      </c>
      <c r="B58" s="15" t="s">
        <v>2168</v>
      </c>
      <c r="C58" s="15" t="s">
        <v>2169</v>
      </c>
      <c r="D58" s="15" t="s">
        <v>2170</v>
      </c>
      <c r="E58" s="15" t="s">
        <v>2171</v>
      </c>
      <c r="F58" s="15" t="s">
        <v>2172</v>
      </c>
      <c r="G58" s="15" t="s">
        <v>48</v>
      </c>
      <c r="H58" s="15" t="s">
        <v>49</v>
      </c>
      <c r="I58" s="16"/>
      <c r="J58" s="15" t="s">
        <v>2173</v>
      </c>
      <c r="K58" s="15" t="s">
        <v>2174</v>
      </c>
      <c r="L58" s="15" t="s">
        <v>2175</v>
      </c>
      <c r="M58" s="15" t="s">
        <v>2176</v>
      </c>
      <c r="N58" s="15" t="s">
        <v>2177</v>
      </c>
    </row>
    <row r="59" spans="1:14">
      <c r="A59" s="14">
        <v>195</v>
      </c>
      <c r="B59" s="15" t="s">
        <v>2178</v>
      </c>
      <c r="C59" s="15" t="s">
        <v>2179</v>
      </c>
      <c r="D59" s="15" t="s">
        <v>2180</v>
      </c>
      <c r="E59" s="15" t="s">
        <v>2181</v>
      </c>
      <c r="F59" s="15" t="s">
        <v>2035</v>
      </c>
      <c r="G59" s="15" t="s">
        <v>48</v>
      </c>
      <c r="H59" s="15" t="s">
        <v>48</v>
      </c>
      <c r="I59" s="16"/>
      <c r="J59" s="15" t="s">
        <v>2182</v>
      </c>
      <c r="K59" s="15" t="s">
        <v>2183</v>
      </c>
      <c r="L59" s="15" t="s">
        <v>2184</v>
      </c>
      <c r="M59" s="15"/>
      <c r="N59" s="15"/>
    </row>
    <row r="60" spans="1:14">
      <c r="A60" s="14">
        <v>196</v>
      </c>
      <c r="B60" s="15" t="s">
        <v>2185</v>
      </c>
      <c r="C60" s="15" t="s">
        <v>2186</v>
      </c>
      <c r="D60" s="15" t="s">
        <v>2187</v>
      </c>
      <c r="E60" s="15" t="s">
        <v>2188</v>
      </c>
      <c r="F60" s="15" t="s">
        <v>2035</v>
      </c>
      <c r="G60" s="15" t="s">
        <v>48</v>
      </c>
      <c r="H60" s="15" t="s">
        <v>48</v>
      </c>
      <c r="I60" s="16"/>
      <c r="J60" s="15" t="s">
        <v>2189</v>
      </c>
      <c r="K60" s="15" t="s">
        <v>2190</v>
      </c>
      <c r="L60" s="15"/>
      <c r="M60" s="15"/>
      <c r="N60" s="15"/>
    </row>
    <row r="61" spans="1:14">
      <c r="A61" s="14">
        <v>198</v>
      </c>
      <c r="B61" s="15" t="s">
        <v>2191</v>
      </c>
      <c r="C61" s="15" t="s">
        <v>2080</v>
      </c>
      <c r="D61" s="15" t="s">
        <v>2192</v>
      </c>
      <c r="E61" s="15" t="s">
        <v>2082</v>
      </c>
      <c r="F61" s="15" t="s">
        <v>2035</v>
      </c>
      <c r="G61" s="15" t="s">
        <v>48</v>
      </c>
      <c r="H61" s="15" t="s">
        <v>48</v>
      </c>
      <c r="I61" s="16"/>
      <c r="J61" s="15" t="s">
        <v>2193</v>
      </c>
      <c r="K61" s="15" t="s">
        <v>2194</v>
      </c>
      <c r="L61" s="15"/>
      <c r="M61" s="15"/>
      <c r="N61" s="15"/>
    </row>
    <row r="62" spans="1:14">
      <c r="A62" s="14">
        <v>199</v>
      </c>
      <c r="B62" s="15" t="s">
        <v>2195</v>
      </c>
      <c r="C62" s="15" t="s">
        <v>2065</v>
      </c>
      <c r="D62" s="15" t="s">
        <v>2196</v>
      </c>
      <c r="E62" s="15" t="s">
        <v>2197</v>
      </c>
      <c r="F62" s="15" t="s">
        <v>2035</v>
      </c>
      <c r="G62" s="15" t="s">
        <v>48</v>
      </c>
      <c r="H62" s="15" t="s">
        <v>48</v>
      </c>
      <c r="I62" s="16"/>
      <c r="J62" s="15" t="s">
        <v>2198</v>
      </c>
      <c r="K62" s="15" t="s">
        <v>2199</v>
      </c>
      <c r="L62" s="15"/>
      <c r="M62" s="15"/>
      <c r="N62" s="15"/>
    </row>
    <row r="63" spans="1:14">
      <c r="A63" s="14">
        <v>200</v>
      </c>
      <c r="B63" s="15" t="s">
        <v>2200</v>
      </c>
      <c r="C63" s="15" t="s">
        <v>2201</v>
      </c>
      <c r="D63" s="15" t="s">
        <v>2202</v>
      </c>
      <c r="E63" s="15" t="s">
        <v>2203</v>
      </c>
      <c r="F63" s="15" t="s">
        <v>2035</v>
      </c>
      <c r="G63" s="15" t="s">
        <v>48</v>
      </c>
      <c r="H63" s="15" t="s">
        <v>48</v>
      </c>
      <c r="I63" s="16" t="s">
        <v>2204</v>
      </c>
      <c r="J63" s="15" t="s">
        <v>2205</v>
      </c>
      <c r="K63" s="15" t="s">
        <v>2206</v>
      </c>
      <c r="L63" s="15"/>
      <c r="M63" s="15"/>
      <c r="N63" s="15"/>
    </row>
    <row r="64" spans="1:14">
      <c r="A64" s="14">
        <v>201</v>
      </c>
      <c r="B64" s="15" t="s">
        <v>2207</v>
      </c>
      <c r="C64" s="15" t="s">
        <v>2087</v>
      </c>
      <c r="D64" s="15" t="s">
        <v>2208</v>
      </c>
      <c r="E64" s="15" t="s">
        <v>2209</v>
      </c>
      <c r="F64" s="15" t="s">
        <v>2035</v>
      </c>
      <c r="G64" s="15" t="s">
        <v>48</v>
      </c>
      <c r="H64" s="15" t="s">
        <v>48</v>
      </c>
      <c r="I64" s="16"/>
      <c r="J64" s="15" t="s">
        <v>2210</v>
      </c>
      <c r="K64" s="15" t="s">
        <v>2211</v>
      </c>
      <c r="L64" s="15" t="s">
        <v>2212</v>
      </c>
      <c r="M64" s="15"/>
      <c r="N64" s="15"/>
    </row>
    <row r="65" spans="1:14">
      <c r="A65" s="14">
        <v>204</v>
      </c>
      <c r="B65" s="15" t="s">
        <v>2213</v>
      </c>
      <c r="C65" s="15" t="s">
        <v>2214</v>
      </c>
      <c r="D65" s="15" t="s">
        <v>2215</v>
      </c>
      <c r="E65" s="15" t="s">
        <v>2216</v>
      </c>
      <c r="F65" s="15" t="s">
        <v>2035</v>
      </c>
      <c r="G65" s="15" t="s">
        <v>48</v>
      </c>
      <c r="H65" s="15" t="s">
        <v>48</v>
      </c>
      <c r="I65" s="16"/>
      <c r="J65" s="15" t="s">
        <v>2217</v>
      </c>
      <c r="K65" s="15" t="s">
        <v>2218</v>
      </c>
      <c r="L65" s="15" t="s">
        <v>2219</v>
      </c>
      <c r="M65" s="15"/>
      <c r="N65" s="15"/>
    </row>
    <row r="66" spans="1:14">
      <c r="A66" s="14">
        <v>205</v>
      </c>
      <c r="B66" s="15" t="s">
        <v>2220</v>
      </c>
      <c r="C66" s="15" t="s">
        <v>2087</v>
      </c>
      <c r="D66" s="15" t="s">
        <v>2221</v>
      </c>
      <c r="E66" s="15" t="s">
        <v>2222</v>
      </c>
      <c r="F66" s="15" t="s">
        <v>2035</v>
      </c>
      <c r="G66" s="15" t="s">
        <v>49</v>
      </c>
      <c r="H66" s="15" t="s">
        <v>49</v>
      </c>
      <c r="I66" s="16"/>
      <c r="J66" s="15"/>
      <c r="K66" s="15" t="s">
        <v>2223</v>
      </c>
      <c r="L66" s="15" t="s">
        <v>2224</v>
      </c>
      <c r="M66" s="15"/>
      <c r="N66" s="15"/>
    </row>
    <row r="67" spans="1:14">
      <c r="A67" s="14">
        <v>208</v>
      </c>
      <c r="B67" s="15" t="s">
        <v>2225</v>
      </c>
      <c r="C67" s="15" t="s">
        <v>2169</v>
      </c>
      <c r="D67" s="15" t="s">
        <v>2226</v>
      </c>
      <c r="E67" s="15" t="s">
        <v>2227</v>
      </c>
      <c r="F67" s="15" t="s">
        <v>2035</v>
      </c>
      <c r="G67" s="15" t="s">
        <v>48</v>
      </c>
      <c r="H67" s="15" t="s">
        <v>48</v>
      </c>
      <c r="I67" s="16"/>
      <c r="J67" s="15" t="s">
        <v>2228</v>
      </c>
      <c r="K67" s="15" t="s">
        <v>2229</v>
      </c>
      <c r="L67" s="15"/>
      <c r="M67" s="15"/>
      <c r="N67" s="15"/>
    </row>
    <row r="68" spans="1:14">
      <c r="A68" s="14">
        <v>209</v>
      </c>
      <c r="B68" s="15" t="s">
        <v>2230</v>
      </c>
      <c r="C68" s="15" t="s">
        <v>2065</v>
      </c>
      <c r="D68" s="15" t="s">
        <v>2231</v>
      </c>
      <c r="E68" s="15" t="s">
        <v>2230</v>
      </c>
      <c r="F68" s="15" t="s">
        <v>2035</v>
      </c>
      <c r="G68" s="15" t="s">
        <v>48</v>
      </c>
      <c r="H68" s="15" t="s">
        <v>48</v>
      </c>
      <c r="I68" s="16" t="s">
        <v>2232</v>
      </c>
      <c r="J68" s="15" t="s">
        <v>2233</v>
      </c>
      <c r="K68" s="15" t="s">
        <v>2234</v>
      </c>
      <c r="L68" s="15"/>
      <c r="M68" s="15"/>
      <c r="N68" s="15"/>
    </row>
    <row r="69" spans="1:14">
      <c r="A69" s="14">
        <v>210</v>
      </c>
      <c r="B69" s="15" t="s">
        <v>2235</v>
      </c>
      <c r="C69" s="15" t="s">
        <v>2087</v>
      </c>
      <c r="D69" s="15" t="s">
        <v>2236</v>
      </c>
      <c r="E69" s="15" t="s">
        <v>2222</v>
      </c>
      <c r="F69" s="15" t="s">
        <v>2035</v>
      </c>
      <c r="G69" s="15" t="s">
        <v>48</v>
      </c>
      <c r="H69" s="15" t="s">
        <v>48</v>
      </c>
      <c r="I69" s="16"/>
      <c r="J69" s="15" t="s">
        <v>2237</v>
      </c>
      <c r="K69" s="15" t="s">
        <v>2238</v>
      </c>
      <c r="L69" s="15"/>
      <c r="M69" s="15"/>
      <c r="N69" s="15"/>
    </row>
    <row r="70" spans="1:14">
      <c r="A70" s="14">
        <v>211</v>
      </c>
      <c r="B70" s="15" t="s">
        <v>2239</v>
      </c>
      <c r="C70" s="15" t="s">
        <v>2087</v>
      </c>
      <c r="D70" s="15" t="s">
        <v>2240</v>
      </c>
      <c r="E70" s="15" t="s">
        <v>2222</v>
      </c>
      <c r="F70" s="15" t="s">
        <v>2035</v>
      </c>
      <c r="G70" s="15" t="s">
        <v>48</v>
      </c>
      <c r="H70" s="15" t="s">
        <v>48</v>
      </c>
      <c r="I70" s="16"/>
      <c r="J70" s="15" t="s">
        <v>2241</v>
      </c>
      <c r="K70" s="15" t="s">
        <v>2242</v>
      </c>
      <c r="L70" s="15"/>
      <c r="M70" s="15"/>
      <c r="N70" s="15"/>
    </row>
    <row r="71" spans="1:14">
      <c r="A71" s="14">
        <v>212</v>
      </c>
      <c r="B71" s="15" t="s">
        <v>2243</v>
      </c>
      <c r="C71" s="15" t="s">
        <v>2054</v>
      </c>
      <c r="D71" s="15" t="s">
        <v>2244</v>
      </c>
      <c r="E71" s="15" t="s">
        <v>2245</v>
      </c>
      <c r="F71" s="15" t="s">
        <v>2057</v>
      </c>
      <c r="G71" s="15" t="s">
        <v>49</v>
      </c>
      <c r="H71" s="15" t="s">
        <v>49</v>
      </c>
      <c r="I71" s="16"/>
      <c r="J71" s="15" t="s">
        <v>2246</v>
      </c>
      <c r="K71" s="15" t="s">
        <v>2247</v>
      </c>
      <c r="L71" s="15"/>
      <c r="M71" s="15" t="s">
        <v>2062</v>
      </c>
      <c r="N71" s="15" t="s">
        <v>2063</v>
      </c>
    </row>
    <row r="72" spans="1:14">
      <c r="A72" s="14">
        <v>213</v>
      </c>
      <c r="B72" s="15" t="s">
        <v>2248</v>
      </c>
      <c r="C72" s="15" t="s">
        <v>2054</v>
      </c>
      <c r="D72" s="15" t="s">
        <v>2249</v>
      </c>
      <c r="E72" s="15" t="s">
        <v>2245</v>
      </c>
      <c r="F72" s="15" t="s">
        <v>2057</v>
      </c>
      <c r="G72" s="15" t="s">
        <v>49</v>
      </c>
      <c r="H72" s="15" t="s">
        <v>49</v>
      </c>
      <c r="I72" s="16"/>
      <c r="J72" s="15" t="s">
        <v>2250</v>
      </c>
      <c r="K72" s="15" t="s">
        <v>2251</v>
      </c>
      <c r="L72" s="15"/>
      <c r="M72" s="15" t="s">
        <v>2062</v>
      </c>
      <c r="N72" s="15" t="s">
        <v>2063</v>
      </c>
    </row>
    <row r="73" spans="1:14">
      <c r="A73" s="14">
        <v>215</v>
      </c>
      <c r="B73" s="15" t="s">
        <v>2252</v>
      </c>
      <c r="C73" s="15" t="s">
        <v>2054</v>
      </c>
      <c r="D73" s="15" t="s">
        <v>2253</v>
      </c>
      <c r="E73" s="15" t="s">
        <v>2254</v>
      </c>
      <c r="F73" s="15" t="s">
        <v>2057</v>
      </c>
      <c r="G73" s="15" t="s">
        <v>49</v>
      </c>
      <c r="H73" s="15" t="s">
        <v>49</v>
      </c>
      <c r="I73" s="16"/>
      <c r="J73" s="15" t="s">
        <v>2255</v>
      </c>
      <c r="K73" s="15" t="s">
        <v>2256</v>
      </c>
      <c r="L73" s="15" t="s">
        <v>2257</v>
      </c>
      <c r="M73" s="15" t="s">
        <v>2062</v>
      </c>
      <c r="N73" s="15" t="s">
        <v>2063</v>
      </c>
    </row>
    <row r="74" spans="1:14">
      <c r="A74" s="14">
        <v>216</v>
      </c>
      <c r="B74" s="15" t="s">
        <v>2258</v>
      </c>
      <c r="C74" s="15" t="s">
        <v>2054</v>
      </c>
      <c r="D74" s="15" t="s">
        <v>2259</v>
      </c>
      <c r="E74" s="15" t="s">
        <v>2260</v>
      </c>
      <c r="F74" s="15" t="s">
        <v>2035</v>
      </c>
      <c r="G74" s="15" t="s">
        <v>48</v>
      </c>
      <c r="H74" s="15" t="s">
        <v>48</v>
      </c>
      <c r="I74" s="16"/>
      <c r="J74" s="15" t="s">
        <v>2261</v>
      </c>
      <c r="K74" s="15" t="s">
        <v>2262</v>
      </c>
      <c r="L74" s="15" t="s">
        <v>2263</v>
      </c>
      <c r="M74" s="15"/>
      <c r="N74" s="15"/>
    </row>
    <row r="75" spans="1:14">
      <c r="A75" s="14">
        <v>218</v>
      </c>
      <c r="B75" s="15" t="s">
        <v>2264</v>
      </c>
      <c r="C75" s="15" t="s">
        <v>2265</v>
      </c>
      <c r="D75" s="15" t="s">
        <v>2266</v>
      </c>
      <c r="E75" s="15" t="s">
        <v>2267</v>
      </c>
      <c r="F75" s="15" t="s">
        <v>2035</v>
      </c>
      <c r="G75" s="15" t="s">
        <v>48</v>
      </c>
      <c r="H75" s="15" t="s">
        <v>48</v>
      </c>
      <c r="I75" s="16"/>
      <c r="J75" s="15" t="s">
        <v>2268</v>
      </c>
      <c r="K75" s="15" t="s">
        <v>2269</v>
      </c>
      <c r="L75" s="15"/>
      <c r="M75" s="15"/>
      <c r="N75" s="15"/>
    </row>
    <row r="76" spans="1:14">
      <c r="A76" s="14">
        <v>221</v>
      </c>
      <c r="B76" s="15" t="s">
        <v>2270</v>
      </c>
      <c r="C76" s="15" t="s">
        <v>2142</v>
      </c>
      <c r="D76" s="15" t="s">
        <v>2271</v>
      </c>
      <c r="E76" s="15" t="s">
        <v>2272</v>
      </c>
      <c r="F76" s="15" t="s">
        <v>2035</v>
      </c>
      <c r="G76" s="15" t="s">
        <v>48</v>
      </c>
      <c r="H76" s="15" t="s">
        <v>48</v>
      </c>
      <c r="I76" s="16"/>
      <c r="J76" s="15"/>
      <c r="K76" s="15" t="s">
        <v>2273</v>
      </c>
      <c r="L76" s="15" t="s">
        <v>2274</v>
      </c>
      <c r="M76" s="15"/>
      <c r="N76" s="15"/>
    </row>
    <row r="77" spans="1:14">
      <c r="A77" s="14">
        <v>225</v>
      </c>
      <c r="B77" s="15" t="s">
        <v>2275</v>
      </c>
      <c r="C77" s="15" t="s">
        <v>2032</v>
      </c>
      <c r="D77" s="15" t="s">
        <v>2276</v>
      </c>
      <c r="E77" s="15" t="s">
        <v>2277</v>
      </c>
      <c r="F77" s="15" t="s">
        <v>2035</v>
      </c>
      <c r="G77" s="15" t="s">
        <v>48</v>
      </c>
      <c r="H77" s="15" t="s">
        <v>48</v>
      </c>
      <c r="I77" s="16"/>
      <c r="J77" s="15" t="s">
        <v>2278</v>
      </c>
      <c r="K77" s="15" t="s">
        <v>2279</v>
      </c>
      <c r="L77" s="15" t="s">
        <v>2280</v>
      </c>
      <c r="M77" s="15"/>
      <c r="N77" s="15"/>
    </row>
    <row r="78" spans="1:14">
      <c r="A78" s="14">
        <v>230</v>
      </c>
      <c r="B78" s="15" t="s">
        <v>2281</v>
      </c>
      <c r="C78" s="15" t="s">
        <v>2282</v>
      </c>
      <c r="D78" s="15" t="s">
        <v>2283</v>
      </c>
      <c r="E78" s="15" t="s">
        <v>2284</v>
      </c>
      <c r="F78" s="15" t="s">
        <v>2035</v>
      </c>
      <c r="G78" s="15" t="s">
        <v>48</v>
      </c>
      <c r="H78" s="15" t="s">
        <v>48</v>
      </c>
      <c r="I78" s="16"/>
      <c r="J78" s="15"/>
      <c r="K78" s="15" t="s">
        <v>2285</v>
      </c>
      <c r="L78" s="15" t="s">
        <v>2286</v>
      </c>
      <c r="M78" s="15"/>
      <c r="N78" s="15"/>
    </row>
    <row r="79" spans="1:14">
      <c r="A79" s="14">
        <v>235</v>
      </c>
      <c r="B79" s="15" t="s">
        <v>2287</v>
      </c>
      <c r="C79" s="15" t="s">
        <v>2288</v>
      </c>
      <c r="D79" s="15" t="s">
        <v>2289</v>
      </c>
      <c r="E79" s="15" t="s">
        <v>2290</v>
      </c>
      <c r="F79" s="15" t="s">
        <v>2035</v>
      </c>
      <c r="G79" s="15" t="s">
        <v>48</v>
      </c>
      <c r="H79" s="15" t="s">
        <v>48</v>
      </c>
      <c r="I79" s="16"/>
      <c r="J79" s="15" t="s">
        <v>2291</v>
      </c>
      <c r="K79" s="15" t="s">
        <v>2292</v>
      </c>
      <c r="L79" s="15"/>
      <c r="M79" s="15"/>
      <c r="N79" s="15"/>
    </row>
    <row r="80" spans="1:14">
      <c r="A80" s="14">
        <v>240</v>
      </c>
      <c r="B80" s="15" t="s">
        <v>2293</v>
      </c>
      <c r="C80" s="15" t="s">
        <v>2294</v>
      </c>
      <c r="D80" s="15" t="s">
        <v>2295</v>
      </c>
      <c r="E80" s="15" t="s">
        <v>2296</v>
      </c>
      <c r="F80" s="15" t="s">
        <v>2035</v>
      </c>
      <c r="G80" s="15" t="s">
        <v>48</v>
      </c>
      <c r="H80" s="15" t="s">
        <v>48</v>
      </c>
      <c r="I80" s="16"/>
      <c r="J80" s="15" t="s">
        <v>2297</v>
      </c>
      <c r="K80" s="15" t="s">
        <v>2298</v>
      </c>
      <c r="L80" s="15"/>
      <c r="M80" s="15"/>
      <c r="N80" s="15"/>
    </row>
    <row r="81" spans="1:14">
      <c r="A81" s="14">
        <v>242</v>
      </c>
      <c r="B81" s="15" t="s">
        <v>2299</v>
      </c>
      <c r="C81" s="15" t="s">
        <v>2065</v>
      </c>
      <c r="D81" s="15" t="s">
        <v>2300</v>
      </c>
      <c r="E81" s="15" t="s">
        <v>2301</v>
      </c>
      <c r="F81" s="15" t="s">
        <v>2035</v>
      </c>
      <c r="G81" s="15" t="s">
        <v>48</v>
      </c>
      <c r="H81" s="15" t="s">
        <v>48</v>
      </c>
      <c r="I81" s="16"/>
      <c r="J81" s="15" t="s">
        <v>2302</v>
      </c>
      <c r="K81" s="15" t="s">
        <v>2303</v>
      </c>
      <c r="L81" s="15" t="s">
        <v>2304</v>
      </c>
      <c r="M81" s="15"/>
      <c r="N81" s="15"/>
    </row>
    <row r="82" spans="1:14">
      <c r="A82" s="14">
        <v>244</v>
      </c>
      <c r="B82" s="15" t="s">
        <v>2305</v>
      </c>
      <c r="C82" s="15" t="s">
        <v>2306</v>
      </c>
      <c r="D82" s="15" t="s">
        <v>2307</v>
      </c>
      <c r="E82" s="15" t="s">
        <v>2308</v>
      </c>
      <c r="F82" s="15" t="s">
        <v>2035</v>
      </c>
      <c r="G82" s="15" t="s">
        <v>48</v>
      </c>
      <c r="H82" s="15" t="s">
        <v>48</v>
      </c>
      <c r="I82" s="16"/>
      <c r="J82" s="15" t="s">
        <v>2309</v>
      </c>
      <c r="K82" s="15" t="s">
        <v>2310</v>
      </c>
      <c r="L82" s="15" t="s">
        <v>2311</v>
      </c>
      <c r="M82" s="15"/>
      <c r="N82" s="15"/>
    </row>
    <row r="83" spans="1:14">
      <c r="A83" s="14">
        <v>245</v>
      </c>
      <c r="B83" s="15" t="s">
        <v>2312</v>
      </c>
      <c r="C83" s="15" t="s">
        <v>2123</v>
      </c>
      <c r="D83" s="15" t="s">
        <v>2313</v>
      </c>
      <c r="E83" s="15" t="s">
        <v>2314</v>
      </c>
      <c r="F83" s="15" t="s">
        <v>2035</v>
      </c>
      <c r="G83" s="15" t="s">
        <v>48</v>
      </c>
      <c r="H83" s="15" t="s">
        <v>48</v>
      </c>
      <c r="I83" s="16"/>
      <c r="J83" s="15" t="s">
        <v>2083</v>
      </c>
      <c r="K83" s="15" t="s">
        <v>2315</v>
      </c>
      <c r="L83" s="15" t="s">
        <v>2316</v>
      </c>
      <c r="M83" s="15"/>
      <c r="N83" s="15"/>
    </row>
    <row r="84" spans="1:14">
      <c r="A84" s="14">
        <v>246</v>
      </c>
      <c r="B84" s="15" t="s">
        <v>2317</v>
      </c>
      <c r="C84" s="15" t="s">
        <v>2214</v>
      </c>
      <c r="D84" s="15" t="s">
        <v>2318</v>
      </c>
      <c r="E84" s="15" t="s">
        <v>2319</v>
      </c>
      <c r="F84" s="15" t="s">
        <v>2035</v>
      </c>
      <c r="G84" s="15" t="s">
        <v>48</v>
      </c>
      <c r="H84" s="15" t="s">
        <v>48</v>
      </c>
      <c r="I84" s="16"/>
      <c r="J84" s="15" t="s">
        <v>2320</v>
      </c>
      <c r="K84" s="15" t="s">
        <v>2321</v>
      </c>
      <c r="L84" s="15" t="s">
        <v>2322</v>
      </c>
      <c r="M84" s="15"/>
      <c r="N84" s="15"/>
    </row>
    <row r="85" spans="1:14">
      <c r="A85" s="14">
        <v>248</v>
      </c>
      <c r="B85" s="15" t="s">
        <v>2323</v>
      </c>
      <c r="C85" s="15" t="s">
        <v>2324</v>
      </c>
      <c r="D85" s="15" t="s">
        <v>2325</v>
      </c>
      <c r="E85" s="15" t="s">
        <v>2326</v>
      </c>
      <c r="F85" s="15" t="s">
        <v>2035</v>
      </c>
      <c r="G85" s="15" t="s">
        <v>48</v>
      </c>
      <c r="H85" s="15" t="s">
        <v>48</v>
      </c>
      <c r="I85" s="16" t="s">
        <v>2327</v>
      </c>
      <c r="J85" s="15" t="s">
        <v>2328</v>
      </c>
      <c r="K85" s="15" t="s">
        <v>2329</v>
      </c>
      <c r="L85" s="15" t="s">
        <v>2330</v>
      </c>
      <c r="M85" s="15"/>
      <c r="N85" s="15"/>
    </row>
    <row r="86" spans="1:14">
      <c r="A86" s="14">
        <v>9901</v>
      </c>
      <c r="B86" s="15" t="s">
        <v>2331</v>
      </c>
      <c r="C86" s="15" t="s">
        <v>2080</v>
      </c>
      <c r="D86" s="15" t="s">
        <v>2332</v>
      </c>
      <c r="E86" s="15" t="s">
        <v>2333</v>
      </c>
      <c r="F86" s="15" t="s">
        <v>2057</v>
      </c>
      <c r="G86" s="15" t="s">
        <v>49</v>
      </c>
      <c r="H86" s="15" t="s">
        <v>49</v>
      </c>
      <c r="I86" s="16"/>
      <c r="J86" s="15"/>
      <c r="K86" s="15" t="s">
        <v>2113</v>
      </c>
      <c r="L86" s="15" t="s">
        <v>2334</v>
      </c>
      <c r="M86" s="15" t="s">
        <v>2335</v>
      </c>
      <c r="N86" s="15" t="s">
        <v>2336</v>
      </c>
    </row>
    <row r="87" spans="1:14">
      <c r="A87" s="14">
        <v>9902</v>
      </c>
      <c r="B87" s="15" t="s">
        <v>2337</v>
      </c>
      <c r="C87" s="15" t="s">
        <v>2080</v>
      </c>
      <c r="D87" s="15" t="s">
        <v>2338</v>
      </c>
      <c r="E87" s="15" t="s">
        <v>2339</v>
      </c>
      <c r="F87" s="15" t="s">
        <v>2057</v>
      </c>
      <c r="G87" s="15" t="s">
        <v>49</v>
      </c>
      <c r="H87" s="15" t="s">
        <v>49</v>
      </c>
      <c r="I87" s="16" t="s">
        <v>2340</v>
      </c>
      <c r="J87" s="15" t="s">
        <v>2341</v>
      </c>
      <c r="K87" s="15"/>
      <c r="L87" s="15"/>
      <c r="M87" s="15" t="s">
        <v>2335</v>
      </c>
      <c r="N87" s="15" t="s">
        <v>2336</v>
      </c>
    </row>
    <row r="88" spans="1:14">
      <c r="A88" s="14">
        <v>9904</v>
      </c>
      <c r="B88" s="15" t="s">
        <v>2342</v>
      </c>
      <c r="C88" s="15" t="s">
        <v>2080</v>
      </c>
      <c r="D88" s="15" t="s">
        <v>2343</v>
      </c>
      <c r="E88" s="15" t="s">
        <v>2344</v>
      </c>
      <c r="F88" s="15" t="s">
        <v>2057</v>
      </c>
      <c r="G88" s="15" t="s">
        <v>49</v>
      </c>
      <c r="H88" s="15" t="s">
        <v>49</v>
      </c>
      <c r="I88" s="16" t="s">
        <v>2345</v>
      </c>
      <c r="J88" s="15" t="s">
        <v>2346</v>
      </c>
      <c r="K88" s="15"/>
      <c r="L88" s="15"/>
      <c r="M88" s="15" t="s">
        <v>2335</v>
      </c>
      <c r="N88" s="15" t="s">
        <v>2336</v>
      </c>
    </row>
    <row r="89" spans="1:14">
      <c r="A89" s="14">
        <v>9905</v>
      </c>
      <c r="B89" s="15" t="s">
        <v>2347</v>
      </c>
      <c r="C89" s="15" t="s">
        <v>2080</v>
      </c>
      <c r="D89" s="15" t="s">
        <v>2348</v>
      </c>
      <c r="E89" s="15" t="s">
        <v>2349</v>
      </c>
      <c r="F89" s="15" t="s">
        <v>2057</v>
      </c>
      <c r="G89" s="15" t="s">
        <v>49</v>
      </c>
      <c r="H89" s="15" t="s">
        <v>49</v>
      </c>
      <c r="I89" s="16" t="s">
        <v>2345</v>
      </c>
      <c r="J89" s="15"/>
      <c r="K89" s="15"/>
      <c r="L89" s="15" t="s">
        <v>2350</v>
      </c>
      <c r="M89" s="15" t="s">
        <v>2335</v>
      </c>
      <c r="N89" s="15" t="s">
        <v>2336</v>
      </c>
    </row>
    <row r="90" spans="1:14">
      <c r="A90" s="14">
        <v>9906</v>
      </c>
      <c r="B90" s="15" t="s">
        <v>2351</v>
      </c>
      <c r="C90" s="15" t="s">
        <v>2087</v>
      </c>
      <c r="D90" s="15" t="s">
        <v>2352</v>
      </c>
      <c r="E90" s="15"/>
      <c r="F90" s="15" t="s">
        <v>2057</v>
      </c>
      <c r="G90" s="15" t="s">
        <v>49</v>
      </c>
      <c r="H90" s="15" t="s">
        <v>49</v>
      </c>
      <c r="I90" s="16" t="s">
        <v>2353</v>
      </c>
      <c r="J90" s="15" t="s">
        <v>2241</v>
      </c>
      <c r="K90" s="15" t="s">
        <v>2242</v>
      </c>
      <c r="L90" s="15"/>
      <c r="M90" s="15" t="s">
        <v>2354</v>
      </c>
      <c r="N90" s="15" t="s">
        <v>2355</v>
      </c>
    </row>
    <row r="91" spans="1:14">
      <c r="A91" s="14">
        <v>9907</v>
      </c>
      <c r="B91" s="15" t="s">
        <v>2356</v>
      </c>
      <c r="C91" s="15" t="s">
        <v>2087</v>
      </c>
      <c r="D91" s="15" t="s">
        <v>2357</v>
      </c>
      <c r="E91" s="15" t="s">
        <v>2358</v>
      </c>
      <c r="F91" s="15" t="s">
        <v>2057</v>
      </c>
      <c r="G91" s="15" t="s">
        <v>49</v>
      </c>
      <c r="H91" s="15" t="s">
        <v>49</v>
      </c>
      <c r="I91" s="16" t="s">
        <v>2359</v>
      </c>
      <c r="J91" s="15" t="s">
        <v>2360</v>
      </c>
      <c r="K91" s="15"/>
      <c r="L91" s="15" t="s">
        <v>2361</v>
      </c>
      <c r="M91" s="15" t="s">
        <v>2354</v>
      </c>
      <c r="N91" s="15" t="s">
        <v>2355</v>
      </c>
    </row>
    <row r="92" spans="1:14">
      <c r="A92" s="14">
        <v>9908</v>
      </c>
      <c r="B92" s="15" t="s">
        <v>2362</v>
      </c>
      <c r="C92" s="15" t="s">
        <v>2162</v>
      </c>
      <c r="D92" s="15" t="s">
        <v>2363</v>
      </c>
      <c r="E92" s="15" t="s">
        <v>2164</v>
      </c>
      <c r="F92" s="15" t="s">
        <v>2057</v>
      </c>
      <c r="G92" s="15" t="s">
        <v>49</v>
      </c>
      <c r="H92" s="15" t="s">
        <v>49</v>
      </c>
      <c r="I92" s="16"/>
      <c r="J92" s="15" t="s">
        <v>2166</v>
      </c>
      <c r="K92" s="15" t="s">
        <v>2167</v>
      </c>
      <c r="L92" s="15" t="s">
        <v>2364</v>
      </c>
      <c r="M92" s="15" t="s">
        <v>2365</v>
      </c>
      <c r="N92" s="15" t="s">
        <v>2355</v>
      </c>
    </row>
    <row r="93" spans="1:14">
      <c r="A93" s="14">
        <v>9909</v>
      </c>
      <c r="B93" s="15" t="s">
        <v>2366</v>
      </c>
      <c r="C93" s="15" t="s">
        <v>2162</v>
      </c>
      <c r="D93" s="15" t="s">
        <v>2367</v>
      </c>
      <c r="E93" s="15" t="s">
        <v>2368</v>
      </c>
      <c r="F93" s="15" t="s">
        <v>2172</v>
      </c>
      <c r="G93" s="15" t="s">
        <v>48</v>
      </c>
      <c r="H93" s="15" t="s">
        <v>49</v>
      </c>
      <c r="I93" s="16" t="s">
        <v>2369</v>
      </c>
      <c r="J93" s="15" t="s">
        <v>2370</v>
      </c>
      <c r="K93" s="15"/>
      <c r="L93" s="15" t="s">
        <v>2371</v>
      </c>
      <c r="M93" s="15" t="s">
        <v>2372</v>
      </c>
      <c r="N93" s="15"/>
    </row>
    <row r="94" spans="1:14">
      <c r="A94" s="14">
        <v>9910</v>
      </c>
      <c r="B94" s="15" t="s">
        <v>2373</v>
      </c>
      <c r="C94" s="15" t="s">
        <v>2374</v>
      </c>
      <c r="D94" s="15" t="s">
        <v>2375</v>
      </c>
      <c r="E94" s="15"/>
      <c r="F94" s="15" t="s">
        <v>2035</v>
      </c>
      <c r="G94" s="15" t="s">
        <v>48</v>
      </c>
      <c r="H94" s="15" t="s">
        <v>48</v>
      </c>
      <c r="I94" s="16"/>
      <c r="J94" s="15" t="s">
        <v>2376</v>
      </c>
      <c r="K94" s="15"/>
      <c r="L94" s="15"/>
      <c r="M94" s="15"/>
      <c r="N94" s="15"/>
    </row>
    <row r="95" spans="1:14">
      <c r="A95" s="14">
        <v>9912</v>
      </c>
      <c r="B95" s="15" t="s">
        <v>2377</v>
      </c>
      <c r="C95" s="15" t="s">
        <v>2065</v>
      </c>
      <c r="D95" s="15" t="s">
        <v>2378</v>
      </c>
      <c r="E95" s="15"/>
      <c r="F95" s="15" t="s">
        <v>2172</v>
      </c>
      <c r="G95" s="15" t="s">
        <v>48</v>
      </c>
      <c r="H95" s="15" t="s">
        <v>49</v>
      </c>
      <c r="I95" s="16"/>
      <c r="J95" s="15" t="s">
        <v>2379</v>
      </c>
      <c r="K95" s="15" t="s">
        <v>2380</v>
      </c>
      <c r="L95" s="15" t="s">
        <v>2381</v>
      </c>
      <c r="M95" s="15" t="s">
        <v>2372</v>
      </c>
      <c r="N95" s="15"/>
    </row>
    <row r="96" spans="1:14">
      <c r="A96" s="14">
        <v>9913</v>
      </c>
      <c r="B96" s="15" t="s">
        <v>2382</v>
      </c>
      <c r="C96" s="15" t="s">
        <v>2065</v>
      </c>
      <c r="D96" s="15" t="s">
        <v>2383</v>
      </c>
      <c r="E96" s="15" t="s">
        <v>2384</v>
      </c>
      <c r="F96" s="15" t="s">
        <v>2035</v>
      </c>
      <c r="G96" s="15" t="s">
        <v>48</v>
      </c>
      <c r="H96" s="15" t="s">
        <v>48</v>
      </c>
      <c r="I96" s="16"/>
      <c r="J96" s="15"/>
      <c r="K96" s="15"/>
      <c r="L96" s="15" t="s">
        <v>2385</v>
      </c>
      <c r="M96" s="15"/>
      <c r="N96" s="15"/>
    </row>
    <row r="97" spans="1:14">
      <c r="A97" s="14">
        <v>9914</v>
      </c>
      <c r="B97" s="15" t="s">
        <v>2386</v>
      </c>
      <c r="C97" s="15" t="s">
        <v>2387</v>
      </c>
      <c r="D97" s="15" t="s">
        <v>2388</v>
      </c>
      <c r="E97" s="15"/>
      <c r="F97" s="15" t="s">
        <v>2035</v>
      </c>
      <c r="G97" s="15" t="s">
        <v>48</v>
      </c>
      <c r="H97" s="15" t="s">
        <v>48</v>
      </c>
      <c r="I97" s="16" t="s">
        <v>2389</v>
      </c>
      <c r="J97" s="15"/>
      <c r="K97" s="15"/>
      <c r="L97" s="15"/>
      <c r="M97" s="15"/>
      <c r="N97" s="15"/>
    </row>
    <row r="98" spans="1:14">
      <c r="A98" s="14">
        <v>9915</v>
      </c>
      <c r="B98" s="15" t="s">
        <v>2390</v>
      </c>
      <c r="C98" s="15" t="s">
        <v>2387</v>
      </c>
      <c r="D98" s="15" t="s">
        <v>2391</v>
      </c>
      <c r="E98" s="15"/>
      <c r="F98" s="15" t="s">
        <v>2035</v>
      </c>
      <c r="G98" s="15" t="s">
        <v>48</v>
      </c>
      <c r="H98" s="15" t="s">
        <v>48</v>
      </c>
      <c r="I98" s="16" t="s">
        <v>2392</v>
      </c>
      <c r="J98" s="15" t="s">
        <v>2393</v>
      </c>
      <c r="K98" s="15"/>
      <c r="L98" s="15" t="s">
        <v>2394</v>
      </c>
      <c r="M98" s="15"/>
      <c r="N98" s="15"/>
    </row>
    <row r="99" spans="1:14">
      <c r="A99" s="14">
        <v>9916</v>
      </c>
      <c r="B99" s="15" t="s">
        <v>2395</v>
      </c>
      <c r="C99" s="15" t="s">
        <v>2387</v>
      </c>
      <c r="D99" s="15" t="s">
        <v>2396</v>
      </c>
      <c r="E99" s="15"/>
      <c r="F99" s="15" t="s">
        <v>2172</v>
      </c>
      <c r="G99" s="15" t="s">
        <v>48</v>
      </c>
      <c r="H99" s="15" t="s">
        <v>49</v>
      </c>
      <c r="I99" s="16"/>
      <c r="J99" s="15"/>
      <c r="K99" s="15"/>
      <c r="L99" s="15"/>
      <c r="M99" s="15" t="s">
        <v>2397</v>
      </c>
      <c r="N99" s="15"/>
    </row>
    <row r="100" spans="1:14">
      <c r="A100" s="14">
        <v>9917</v>
      </c>
      <c r="B100" s="15" t="s">
        <v>2398</v>
      </c>
      <c r="C100" s="15" t="s">
        <v>2186</v>
      </c>
      <c r="D100" s="15" t="s">
        <v>2399</v>
      </c>
      <c r="E100" s="15"/>
      <c r="F100" s="15" t="s">
        <v>2172</v>
      </c>
      <c r="G100" s="15" t="s">
        <v>48</v>
      </c>
      <c r="H100" s="15" t="s">
        <v>49</v>
      </c>
      <c r="I100" s="16"/>
      <c r="J100" s="15" t="s">
        <v>2189</v>
      </c>
      <c r="K100" s="15" t="s">
        <v>2190</v>
      </c>
      <c r="L100" s="15" t="s">
        <v>2400</v>
      </c>
      <c r="M100" s="15" t="s">
        <v>25</v>
      </c>
      <c r="N100" s="15"/>
    </row>
    <row r="101" spans="1:14">
      <c r="A101" s="14">
        <v>9918</v>
      </c>
      <c r="B101" s="15" t="s">
        <v>2401</v>
      </c>
      <c r="C101" s="15" t="s">
        <v>2065</v>
      </c>
      <c r="D101" s="15" t="s">
        <v>2402</v>
      </c>
      <c r="E101" s="15" t="s">
        <v>2403</v>
      </c>
      <c r="F101" s="15" t="s">
        <v>2035</v>
      </c>
      <c r="G101" s="15" t="s">
        <v>48</v>
      </c>
      <c r="H101" s="15" t="s">
        <v>48</v>
      </c>
      <c r="I101" s="16"/>
      <c r="J101" s="15"/>
      <c r="K101" s="15" t="s">
        <v>2404</v>
      </c>
      <c r="L101" s="15"/>
      <c r="M101" s="15"/>
      <c r="N101" s="15"/>
    </row>
    <row r="102" spans="1:14">
      <c r="A102" s="14">
        <v>9919</v>
      </c>
      <c r="B102" s="15" t="s">
        <v>2405</v>
      </c>
      <c r="C102" s="15" t="s">
        <v>2387</v>
      </c>
      <c r="D102" s="15" t="s">
        <v>2406</v>
      </c>
      <c r="E102" s="15"/>
      <c r="F102" s="15" t="s">
        <v>2035</v>
      </c>
      <c r="G102" s="15" t="s">
        <v>48</v>
      </c>
      <c r="H102" s="15" t="s">
        <v>48</v>
      </c>
      <c r="I102" s="16"/>
      <c r="J102" s="15"/>
      <c r="K102" s="15" t="s">
        <v>2407</v>
      </c>
      <c r="L102" s="15" t="s">
        <v>2408</v>
      </c>
      <c r="M102" s="15"/>
      <c r="N102" s="15"/>
    </row>
    <row r="103" spans="1:14">
      <c r="A103" s="14">
        <v>9920</v>
      </c>
      <c r="B103" s="15" t="s">
        <v>2409</v>
      </c>
      <c r="C103" s="15" t="s">
        <v>2410</v>
      </c>
      <c r="D103" s="15" t="s">
        <v>2411</v>
      </c>
      <c r="E103" s="15" t="s">
        <v>2412</v>
      </c>
      <c r="F103" s="15" t="s">
        <v>2035</v>
      </c>
      <c r="G103" s="15" t="s">
        <v>48</v>
      </c>
      <c r="H103" s="15" t="s">
        <v>48</v>
      </c>
      <c r="I103" s="16"/>
      <c r="J103" s="15"/>
      <c r="K103" s="15"/>
      <c r="L103" s="15"/>
      <c r="M103" s="15"/>
      <c r="N103" s="15"/>
    </row>
    <row r="104" spans="1:14">
      <c r="A104" s="14">
        <v>9921</v>
      </c>
      <c r="B104" s="15" t="s">
        <v>2413</v>
      </c>
      <c r="C104" s="15" t="s">
        <v>2087</v>
      </c>
      <c r="D104" s="15" t="s">
        <v>2414</v>
      </c>
      <c r="E104" s="15" t="s">
        <v>2415</v>
      </c>
      <c r="F104" s="15" t="s">
        <v>2057</v>
      </c>
      <c r="G104" s="15" t="s">
        <v>49</v>
      </c>
      <c r="H104" s="15" t="s">
        <v>49</v>
      </c>
      <c r="I104" s="16"/>
      <c r="J104" s="15"/>
      <c r="K104" s="15"/>
      <c r="L104" s="15" t="s">
        <v>2416</v>
      </c>
      <c r="M104" s="15" t="s">
        <v>2417</v>
      </c>
      <c r="N104" s="15" t="s">
        <v>2336</v>
      </c>
    </row>
    <row r="105" spans="1:14">
      <c r="A105" s="14">
        <v>9922</v>
      </c>
      <c r="B105" s="15" t="s">
        <v>2418</v>
      </c>
      <c r="C105" s="15" t="s">
        <v>2419</v>
      </c>
      <c r="D105" s="15" t="s">
        <v>2420</v>
      </c>
      <c r="E105" s="15"/>
      <c r="F105" s="15" t="s">
        <v>2035</v>
      </c>
      <c r="G105" s="15" t="s">
        <v>48</v>
      </c>
      <c r="H105" s="15" t="s">
        <v>48</v>
      </c>
      <c r="I105" s="16"/>
      <c r="J105" s="15"/>
      <c r="K105" s="15"/>
      <c r="L105" s="15"/>
      <c r="M105" s="15"/>
      <c r="N105" s="15"/>
    </row>
    <row r="106" spans="1:14">
      <c r="A106" s="14">
        <v>9923</v>
      </c>
      <c r="B106" s="15" t="s">
        <v>2421</v>
      </c>
      <c r="C106" s="15" t="s">
        <v>2422</v>
      </c>
      <c r="D106" s="15" t="s">
        <v>2423</v>
      </c>
      <c r="E106" s="15"/>
      <c r="F106" s="15" t="s">
        <v>2035</v>
      </c>
      <c r="G106" s="15" t="s">
        <v>48</v>
      </c>
      <c r="H106" s="15" t="s">
        <v>48</v>
      </c>
      <c r="I106" s="16"/>
      <c r="J106" s="15"/>
      <c r="K106" s="15"/>
      <c r="L106" s="15"/>
      <c r="M106" s="15"/>
      <c r="N106" s="15"/>
    </row>
    <row r="107" spans="1:14">
      <c r="A107" s="14">
        <v>9924</v>
      </c>
      <c r="B107" s="15" t="s">
        <v>2424</v>
      </c>
      <c r="C107" s="15" t="s">
        <v>2425</v>
      </c>
      <c r="D107" s="15" t="s">
        <v>2426</v>
      </c>
      <c r="E107" s="15"/>
      <c r="F107" s="15" t="s">
        <v>2035</v>
      </c>
      <c r="G107" s="15" t="s">
        <v>48</v>
      </c>
      <c r="H107" s="15" t="s">
        <v>48</v>
      </c>
      <c r="I107" s="16"/>
      <c r="J107" s="15"/>
      <c r="K107" s="15"/>
      <c r="L107" s="15"/>
      <c r="M107" s="15"/>
      <c r="N107" s="15"/>
    </row>
    <row r="108" spans="1:14">
      <c r="A108" s="14">
        <v>9925</v>
      </c>
      <c r="B108" s="15" t="s">
        <v>2427</v>
      </c>
      <c r="C108" s="15" t="s">
        <v>2169</v>
      </c>
      <c r="D108" s="15" t="s">
        <v>2428</v>
      </c>
      <c r="E108" s="15"/>
      <c r="F108" s="15" t="s">
        <v>2035</v>
      </c>
      <c r="G108" s="15" t="s">
        <v>48</v>
      </c>
      <c r="H108" s="15" t="s">
        <v>48</v>
      </c>
      <c r="I108" s="16"/>
      <c r="J108" s="15"/>
      <c r="K108" s="15"/>
      <c r="L108" s="15"/>
      <c r="M108" s="15"/>
      <c r="N108" s="15"/>
    </row>
    <row r="109" spans="1:14">
      <c r="A109" s="14">
        <v>9926</v>
      </c>
      <c r="B109" s="15" t="s">
        <v>2429</v>
      </c>
      <c r="C109" s="15" t="s">
        <v>2430</v>
      </c>
      <c r="D109" s="15" t="s">
        <v>2431</v>
      </c>
      <c r="E109" s="15"/>
      <c r="F109" s="15" t="s">
        <v>2035</v>
      </c>
      <c r="G109" s="15" t="s">
        <v>48</v>
      </c>
      <c r="H109" s="15" t="s">
        <v>48</v>
      </c>
      <c r="I109" s="16"/>
      <c r="J109" s="15"/>
      <c r="K109" s="15"/>
      <c r="L109" s="15"/>
      <c r="M109" s="15"/>
      <c r="N109" s="15"/>
    </row>
    <row r="110" spans="1:14">
      <c r="A110" s="14">
        <v>9927</v>
      </c>
      <c r="B110" s="15" t="s">
        <v>2432</v>
      </c>
      <c r="C110" s="15" t="s">
        <v>2130</v>
      </c>
      <c r="D110" s="15" t="s">
        <v>2433</v>
      </c>
      <c r="E110" s="15"/>
      <c r="F110" s="15" t="s">
        <v>2035</v>
      </c>
      <c r="G110" s="15" t="s">
        <v>48</v>
      </c>
      <c r="H110" s="15" t="s">
        <v>48</v>
      </c>
      <c r="I110" s="16"/>
      <c r="J110" s="15"/>
      <c r="K110" s="15"/>
      <c r="L110" s="15"/>
      <c r="M110" s="15"/>
      <c r="N110" s="15"/>
    </row>
    <row r="111" spans="1:14">
      <c r="A111" s="14">
        <v>9928</v>
      </c>
      <c r="B111" s="15" t="s">
        <v>2434</v>
      </c>
      <c r="C111" s="15" t="s">
        <v>2435</v>
      </c>
      <c r="D111" s="15" t="s">
        <v>2436</v>
      </c>
      <c r="E111" s="15"/>
      <c r="F111" s="15" t="s">
        <v>2035</v>
      </c>
      <c r="G111" s="15" t="s">
        <v>48</v>
      </c>
      <c r="H111" s="15" t="s">
        <v>48</v>
      </c>
      <c r="I111" s="16"/>
      <c r="J111" s="15"/>
      <c r="K111" s="15"/>
      <c r="L111" s="15"/>
      <c r="M111" s="15"/>
      <c r="N111" s="15"/>
    </row>
    <row r="112" spans="1:14">
      <c r="A112" s="14">
        <v>9929</v>
      </c>
      <c r="B112" s="15" t="s">
        <v>2437</v>
      </c>
      <c r="C112" s="15" t="s">
        <v>2438</v>
      </c>
      <c r="D112" s="15" t="s">
        <v>2439</v>
      </c>
      <c r="E112" s="15"/>
      <c r="F112" s="15" t="s">
        <v>2035</v>
      </c>
      <c r="G112" s="15" t="s">
        <v>48</v>
      </c>
      <c r="H112" s="15" t="s">
        <v>48</v>
      </c>
      <c r="I112" s="16"/>
      <c r="J112" s="15"/>
      <c r="K112" s="15"/>
      <c r="L112" s="15"/>
      <c r="M112" s="15"/>
      <c r="N112" s="15"/>
    </row>
    <row r="113" spans="1:14">
      <c r="A113" s="14">
        <v>9930</v>
      </c>
      <c r="B113" s="15" t="s">
        <v>2440</v>
      </c>
      <c r="C113" s="15" t="s">
        <v>2214</v>
      </c>
      <c r="D113" s="15" t="s">
        <v>2441</v>
      </c>
      <c r="E113" s="15"/>
      <c r="F113" s="15" t="s">
        <v>2035</v>
      </c>
      <c r="G113" s="15" t="s">
        <v>48</v>
      </c>
      <c r="H113" s="15" t="s">
        <v>48</v>
      </c>
      <c r="I113" s="16"/>
      <c r="J113" s="15"/>
      <c r="K113" s="15"/>
      <c r="L113" s="15"/>
      <c r="M113" s="15"/>
      <c r="N113" s="15"/>
    </row>
    <row r="114" spans="1:14">
      <c r="A114" s="14">
        <v>9931</v>
      </c>
      <c r="B114" s="15" t="s">
        <v>2442</v>
      </c>
      <c r="C114" s="15" t="s">
        <v>2154</v>
      </c>
      <c r="D114" s="15" t="s">
        <v>2443</v>
      </c>
      <c r="E114" s="15"/>
      <c r="F114" s="15" t="s">
        <v>2035</v>
      </c>
      <c r="G114" s="15" t="s">
        <v>48</v>
      </c>
      <c r="H114" s="15" t="s">
        <v>48</v>
      </c>
      <c r="I114" s="16"/>
      <c r="J114" s="15"/>
      <c r="K114" s="15"/>
      <c r="L114" s="15"/>
      <c r="M114" s="15"/>
      <c r="N114" s="15"/>
    </row>
    <row r="115" spans="1:14">
      <c r="A115" s="14">
        <v>9932</v>
      </c>
      <c r="B115" s="15" t="s">
        <v>2444</v>
      </c>
      <c r="C115" s="15" t="s">
        <v>2445</v>
      </c>
      <c r="D115" s="15" t="s">
        <v>2446</v>
      </c>
      <c r="E115" s="15"/>
      <c r="F115" s="15" t="s">
        <v>2035</v>
      </c>
      <c r="G115" s="15" t="s">
        <v>48</v>
      </c>
      <c r="H115" s="15" t="s">
        <v>48</v>
      </c>
      <c r="I115" s="16"/>
      <c r="J115" s="15"/>
      <c r="K115" s="15"/>
      <c r="L115" s="15"/>
      <c r="M115" s="15"/>
      <c r="N115" s="15"/>
    </row>
    <row r="116" spans="1:14">
      <c r="A116" s="14">
        <v>9933</v>
      </c>
      <c r="B116" s="15" t="s">
        <v>2447</v>
      </c>
      <c r="C116" s="15" t="s">
        <v>2448</v>
      </c>
      <c r="D116" s="15" t="s">
        <v>2449</v>
      </c>
      <c r="E116" s="15"/>
      <c r="F116" s="15" t="s">
        <v>2035</v>
      </c>
      <c r="G116" s="15" t="s">
        <v>48</v>
      </c>
      <c r="H116" s="15" t="s">
        <v>48</v>
      </c>
      <c r="I116" s="16"/>
      <c r="J116" s="15"/>
      <c r="K116" s="15"/>
      <c r="L116" s="15"/>
      <c r="M116" s="15"/>
      <c r="N116" s="15"/>
    </row>
    <row r="117" spans="1:14">
      <c r="A117" s="14">
        <v>9934</v>
      </c>
      <c r="B117" s="15" t="s">
        <v>2450</v>
      </c>
      <c r="C117" s="15" t="s">
        <v>2451</v>
      </c>
      <c r="D117" s="15" t="s">
        <v>2452</v>
      </c>
      <c r="E117" s="15"/>
      <c r="F117" s="15" t="s">
        <v>2035</v>
      </c>
      <c r="G117" s="15" t="s">
        <v>48</v>
      </c>
      <c r="H117" s="15" t="s">
        <v>48</v>
      </c>
      <c r="I117" s="16"/>
      <c r="J117" s="15"/>
      <c r="K117" s="15"/>
      <c r="L117" s="15"/>
      <c r="M117" s="15"/>
      <c r="N117" s="15"/>
    </row>
    <row r="118" spans="1:14">
      <c r="A118" s="14">
        <v>9935</v>
      </c>
      <c r="B118" s="15" t="s">
        <v>2453</v>
      </c>
      <c r="C118" s="15" t="s">
        <v>2454</v>
      </c>
      <c r="D118" s="15" t="s">
        <v>2455</v>
      </c>
      <c r="E118" s="15"/>
      <c r="F118" s="15" t="s">
        <v>2035</v>
      </c>
      <c r="G118" s="15" t="s">
        <v>48</v>
      </c>
      <c r="H118" s="15" t="s">
        <v>48</v>
      </c>
      <c r="I118" s="16"/>
      <c r="J118" s="15"/>
      <c r="K118" s="15"/>
      <c r="L118" s="15"/>
      <c r="M118" s="15"/>
      <c r="N118" s="15"/>
    </row>
    <row r="119" spans="1:14">
      <c r="A119" s="14">
        <v>9936</v>
      </c>
      <c r="B119" s="15" t="s">
        <v>2456</v>
      </c>
      <c r="C119" s="15" t="s">
        <v>2457</v>
      </c>
      <c r="D119" s="15" t="s">
        <v>2458</v>
      </c>
      <c r="E119" s="15"/>
      <c r="F119" s="15" t="s">
        <v>2035</v>
      </c>
      <c r="G119" s="15" t="s">
        <v>48</v>
      </c>
      <c r="H119" s="15" t="s">
        <v>48</v>
      </c>
      <c r="I119" s="16"/>
      <c r="J119" s="15"/>
      <c r="K119" s="15"/>
      <c r="L119" s="15"/>
      <c r="M119" s="15"/>
      <c r="N119" s="15"/>
    </row>
    <row r="120" spans="1:14">
      <c r="A120" s="14">
        <v>9937</v>
      </c>
      <c r="B120" s="15" t="s">
        <v>2459</v>
      </c>
      <c r="C120" s="15" t="s">
        <v>2201</v>
      </c>
      <c r="D120" s="15" t="s">
        <v>2460</v>
      </c>
      <c r="E120" s="15"/>
      <c r="F120" s="15" t="s">
        <v>2035</v>
      </c>
      <c r="G120" s="15" t="s">
        <v>48</v>
      </c>
      <c r="H120" s="15" t="s">
        <v>48</v>
      </c>
      <c r="I120" s="16"/>
      <c r="J120" s="15"/>
      <c r="K120" s="15"/>
      <c r="L120" s="15"/>
      <c r="M120" s="15"/>
      <c r="N120" s="15"/>
    </row>
    <row r="121" spans="1:14">
      <c r="A121" s="14">
        <v>9938</v>
      </c>
      <c r="B121" s="15" t="s">
        <v>2461</v>
      </c>
      <c r="C121" s="15" t="s">
        <v>2294</v>
      </c>
      <c r="D121" s="15" t="s">
        <v>2462</v>
      </c>
      <c r="E121" s="15"/>
      <c r="F121" s="15" t="s">
        <v>2035</v>
      </c>
      <c r="G121" s="15" t="s">
        <v>48</v>
      </c>
      <c r="H121" s="15" t="s">
        <v>48</v>
      </c>
      <c r="I121" s="16"/>
      <c r="J121" s="15"/>
      <c r="K121" s="15"/>
      <c r="L121" s="15"/>
      <c r="M121" s="15"/>
      <c r="N121" s="15"/>
    </row>
    <row r="122" spans="1:14">
      <c r="A122" s="14">
        <v>9939</v>
      </c>
      <c r="B122" s="15" t="s">
        <v>2463</v>
      </c>
      <c r="C122" s="15" t="s">
        <v>2265</v>
      </c>
      <c r="D122" s="15" t="s">
        <v>2464</v>
      </c>
      <c r="E122" s="15"/>
      <c r="F122" s="15" t="s">
        <v>2035</v>
      </c>
      <c r="G122" s="15" t="s">
        <v>48</v>
      </c>
      <c r="H122" s="15" t="s">
        <v>48</v>
      </c>
      <c r="I122" s="16"/>
      <c r="J122" s="15"/>
      <c r="K122" s="15"/>
      <c r="L122" s="15"/>
      <c r="M122" s="15"/>
      <c r="N122" s="15"/>
    </row>
    <row r="123" spans="1:14">
      <c r="A123" s="14">
        <v>9940</v>
      </c>
      <c r="B123" s="15" t="s">
        <v>2465</v>
      </c>
      <c r="C123" s="15" t="s">
        <v>2466</v>
      </c>
      <c r="D123" s="15" t="s">
        <v>2467</v>
      </c>
      <c r="E123" s="15"/>
      <c r="F123" s="15" t="s">
        <v>2035</v>
      </c>
      <c r="G123" s="15" t="s">
        <v>48</v>
      </c>
      <c r="H123" s="15" t="s">
        <v>48</v>
      </c>
      <c r="I123" s="16"/>
      <c r="J123" s="15"/>
      <c r="K123" s="15"/>
      <c r="L123" s="15"/>
      <c r="M123" s="15"/>
      <c r="N123" s="15"/>
    </row>
    <row r="124" spans="1:14">
      <c r="A124" s="14">
        <v>9941</v>
      </c>
      <c r="B124" s="15" t="s">
        <v>2468</v>
      </c>
      <c r="C124" s="15" t="s">
        <v>2469</v>
      </c>
      <c r="D124" s="15" t="s">
        <v>2470</v>
      </c>
      <c r="E124" s="15"/>
      <c r="F124" s="15" t="s">
        <v>2035</v>
      </c>
      <c r="G124" s="15" t="s">
        <v>48</v>
      </c>
      <c r="H124" s="15" t="s">
        <v>48</v>
      </c>
      <c r="I124" s="16"/>
      <c r="J124" s="15"/>
      <c r="K124" s="15"/>
      <c r="L124" s="15"/>
      <c r="M124" s="15"/>
      <c r="N124" s="15"/>
    </row>
    <row r="125" spans="1:14">
      <c r="A125" s="14">
        <v>9942</v>
      </c>
      <c r="B125" s="15" t="s">
        <v>2471</v>
      </c>
      <c r="C125" s="15" t="s">
        <v>2472</v>
      </c>
      <c r="D125" s="15" t="s">
        <v>2473</v>
      </c>
      <c r="E125" s="15"/>
      <c r="F125" s="15" t="s">
        <v>2035</v>
      </c>
      <c r="G125" s="15" t="s">
        <v>48</v>
      </c>
      <c r="H125" s="15" t="s">
        <v>48</v>
      </c>
      <c r="I125" s="16"/>
      <c r="J125" s="15"/>
      <c r="K125" s="15"/>
      <c r="L125" s="15"/>
      <c r="M125" s="15"/>
      <c r="N125" s="15"/>
    </row>
    <row r="126" spans="1:14">
      <c r="A126" s="14">
        <v>9943</v>
      </c>
      <c r="B126" s="15" t="s">
        <v>2474</v>
      </c>
      <c r="C126" s="15" t="s">
        <v>2475</v>
      </c>
      <c r="D126" s="15" t="s">
        <v>2476</v>
      </c>
      <c r="E126" s="15"/>
      <c r="F126" s="15" t="s">
        <v>2035</v>
      </c>
      <c r="G126" s="15" t="s">
        <v>48</v>
      </c>
      <c r="H126" s="15" t="s">
        <v>48</v>
      </c>
      <c r="I126" s="16"/>
      <c r="J126" s="15"/>
      <c r="K126" s="15"/>
      <c r="L126" s="15"/>
      <c r="M126" s="15"/>
      <c r="N126" s="15"/>
    </row>
    <row r="127" spans="1:14">
      <c r="A127" s="14">
        <v>9944</v>
      </c>
      <c r="B127" s="15" t="s">
        <v>2477</v>
      </c>
      <c r="C127" s="15" t="s">
        <v>2094</v>
      </c>
      <c r="D127" s="15" t="s">
        <v>2478</v>
      </c>
      <c r="E127" s="15"/>
      <c r="F127" s="15" t="s">
        <v>2035</v>
      </c>
      <c r="G127" s="15" t="s">
        <v>48</v>
      </c>
      <c r="H127" s="15" t="s">
        <v>48</v>
      </c>
      <c r="I127" s="16"/>
      <c r="J127" s="15"/>
      <c r="K127" s="15"/>
      <c r="L127" s="15"/>
      <c r="M127" s="15"/>
      <c r="N127" s="15"/>
    </row>
    <row r="128" spans="1:14">
      <c r="A128" s="14">
        <v>9945</v>
      </c>
      <c r="B128" s="15" t="s">
        <v>2479</v>
      </c>
      <c r="C128" s="15" t="s">
        <v>2480</v>
      </c>
      <c r="D128" s="15" t="s">
        <v>2481</v>
      </c>
      <c r="E128" s="15"/>
      <c r="F128" s="15" t="s">
        <v>2035</v>
      </c>
      <c r="G128" s="15" t="s">
        <v>48</v>
      </c>
      <c r="H128" s="15" t="s">
        <v>48</v>
      </c>
      <c r="I128" s="16"/>
      <c r="J128" s="15"/>
      <c r="K128" s="15"/>
      <c r="L128" s="15"/>
      <c r="M128" s="15"/>
      <c r="N128" s="15"/>
    </row>
    <row r="129" spans="1:14">
      <c r="A129" s="14">
        <v>9946</v>
      </c>
      <c r="B129" s="15" t="s">
        <v>2482</v>
      </c>
      <c r="C129" s="15" t="s">
        <v>2483</v>
      </c>
      <c r="D129" s="15" t="s">
        <v>2484</v>
      </c>
      <c r="E129" s="15"/>
      <c r="F129" s="15" t="s">
        <v>2035</v>
      </c>
      <c r="G129" s="15" t="s">
        <v>48</v>
      </c>
      <c r="H129" s="15" t="s">
        <v>48</v>
      </c>
      <c r="I129" s="16"/>
      <c r="J129" s="15"/>
      <c r="K129" s="15"/>
      <c r="L129" s="15"/>
      <c r="M129" s="15"/>
      <c r="N129" s="15"/>
    </row>
    <row r="130" spans="1:14">
      <c r="A130" s="14">
        <v>9947</v>
      </c>
      <c r="B130" s="15" t="s">
        <v>2485</v>
      </c>
      <c r="C130" s="15" t="s">
        <v>2486</v>
      </c>
      <c r="D130" s="15" t="s">
        <v>2487</v>
      </c>
      <c r="E130" s="15"/>
      <c r="F130" s="15" t="s">
        <v>2035</v>
      </c>
      <c r="G130" s="15" t="s">
        <v>48</v>
      </c>
      <c r="H130" s="15" t="s">
        <v>48</v>
      </c>
      <c r="I130" s="16"/>
      <c r="J130" s="15"/>
      <c r="K130" s="15"/>
      <c r="L130" s="15"/>
      <c r="M130" s="15"/>
      <c r="N130" s="15"/>
    </row>
    <row r="131" spans="1:14">
      <c r="A131" s="14">
        <v>9948</v>
      </c>
      <c r="B131" s="15" t="s">
        <v>2488</v>
      </c>
      <c r="C131" s="15" t="s">
        <v>2489</v>
      </c>
      <c r="D131" s="15" t="s">
        <v>2490</v>
      </c>
      <c r="E131" s="15"/>
      <c r="F131" s="15" t="s">
        <v>2035</v>
      </c>
      <c r="G131" s="15" t="s">
        <v>48</v>
      </c>
      <c r="H131" s="15" t="s">
        <v>48</v>
      </c>
      <c r="I131" s="16"/>
      <c r="J131" s="15"/>
      <c r="K131" s="15"/>
      <c r="L131" s="15"/>
      <c r="M131" s="15"/>
      <c r="N131" s="15"/>
    </row>
    <row r="132" spans="1:14">
      <c r="A132" s="14">
        <v>9949</v>
      </c>
      <c r="B132" s="15" t="s">
        <v>2491</v>
      </c>
      <c r="C132" s="15" t="s">
        <v>2492</v>
      </c>
      <c r="D132" s="15" t="s">
        <v>2493</v>
      </c>
      <c r="E132" s="15"/>
      <c r="F132" s="15" t="s">
        <v>2035</v>
      </c>
      <c r="G132" s="15" t="s">
        <v>48</v>
      </c>
      <c r="H132" s="15" t="s">
        <v>48</v>
      </c>
      <c r="I132" s="16"/>
      <c r="J132" s="15"/>
      <c r="K132" s="15"/>
      <c r="L132" s="15"/>
      <c r="M132" s="15"/>
      <c r="N132" s="15"/>
    </row>
    <row r="133" spans="1:14">
      <c r="A133" s="14">
        <v>9950</v>
      </c>
      <c r="B133" s="15" t="s">
        <v>2494</v>
      </c>
      <c r="C133" s="15" t="s">
        <v>2123</v>
      </c>
      <c r="D133" s="15" t="s">
        <v>2495</v>
      </c>
      <c r="E133" s="15"/>
      <c r="F133" s="15" t="s">
        <v>2035</v>
      </c>
      <c r="G133" s="15" t="s">
        <v>48</v>
      </c>
      <c r="H133" s="15" t="s">
        <v>48</v>
      </c>
      <c r="I133" s="16"/>
      <c r="J133" s="15"/>
      <c r="K133" s="15"/>
      <c r="L133" s="15"/>
      <c r="M133" s="15"/>
      <c r="N133" s="15"/>
    </row>
    <row r="134" spans="1:14">
      <c r="A134" s="14">
        <v>9951</v>
      </c>
      <c r="B134" s="15" t="s">
        <v>2496</v>
      </c>
      <c r="C134" s="15" t="s">
        <v>2497</v>
      </c>
      <c r="D134" s="15" t="s">
        <v>2498</v>
      </c>
      <c r="E134" s="15"/>
      <c r="F134" s="15" t="s">
        <v>2035</v>
      </c>
      <c r="G134" s="15" t="s">
        <v>48</v>
      </c>
      <c r="H134" s="15" t="s">
        <v>48</v>
      </c>
      <c r="I134" s="16"/>
      <c r="J134" s="15"/>
      <c r="K134" s="15"/>
      <c r="L134" s="15"/>
      <c r="M134" s="15"/>
      <c r="N134" s="15"/>
    </row>
    <row r="135" spans="1:14">
      <c r="A135" s="14">
        <v>9952</v>
      </c>
      <c r="B135" s="15" t="s">
        <v>2499</v>
      </c>
      <c r="C135" s="15" t="s">
        <v>2500</v>
      </c>
      <c r="D135" s="15" t="s">
        <v>2501</v>
      </c>
      <c r="E135" s="15"/>
      <c r="F135" s="15" t="s">
        <v>2035</v>
      </c>
      <c r="G135" s="15" t="s">
        <v>48</v>
      </c>
      <c r="H135" s="15" t="s">
        <v>48</v>
      </c>
      <c r="I135" s="16"/>
      <c r="J135" s="15"/>
      <c r="K135" s="15"/>
      <c r="L135" s="15"/>
      <c r="M135" s="15"/>
      <c r="N135" s="15"/>
    </row>
    <row r="136" spans="1:14">
      <c r="A136" s="14">
        <v>9953</v>
      </c>
      <c r="B136" s="15" t="s">
        <v>2502</v>
      </c>
      <c r="C136" s="15" t="s">
        <v>2503</v>
      </c>
      <c r="D136" s="15" t="s">
        <v>2504</v>
      </c>
      <c r="E136" s="15"/>
      <c r="F136" s="15" t="s">
        <v>2035</v>
      </c>
      <c r="G136" s="15" t="s">
        <v>48</v>
      </c>
      <c r="H136" s="15" t="s">
        <v>48</v>
      </c>
      <c r="I136" s="16"/>
      <c r="J136" s="15"/>
      <c r="K136" s="15"/>
      <c r="L136" s="15"/>
      <c r="M136" s="15"/>
      <c r="N136" s="15"/>
    </row>
    <row r="137" spans="1:14">
      <c r="A137" s="14">
        <v>9954</v>
      </c>
      <c r="B137" s="15" t="s">
        <v>2505</v>
      </c>
      <c r="C137" s="15" t="s">
        <v>2094</v>
      </c>
      <c r="D137" s="15" t="s">
        <v>2506</v>
      </c>
      <c r="E137" s="15"/>
      <c r="F137" s="15" t="s">
        <v>2057</v>
      </c>
      <c r="G137" s="15" t="s">
        <v>49</v>
      </c>
      <c r="H137" s="15" t="s">
        <v>49</v>
      </c>
      <c r="I137" s="16"/>
      <c r="J137" s="15"/>
      <c r="K137" s="15"/>
      <c r="L137" s="15" t="s">
        <v>2507</v>
      </c>
      <c r="M137" s="15" t="s">
        <v>21</v>
      </c>
      <c r="N137" s="15" t="s">
        <v>2508</v>
      </c>
    </row>
    <row r="138" spans="1:14">
      <c r="A138" s="14">
        <v>9955</v>
      </c>
      <c r="B138" s="15" t="s">
        <v>2509</v>
      </c>
      <c r="C138" s="15" t="s">
        <v>2041</v>
      </c>
      <c r="D138" s="15" t="s">
        <v>2510</v>
      </c>
      <c r="E138" s="15"/>
      <c r="F138" s="15" t="s">
        <v>2057</v>
      </c>
      <c r="G138" s="15" t="s">
        <v>49</v>
      </c>
      <c r="H138" s="15" t="s">
        <v>49</v>
      </c>
      <c r="I138" s="16"/>
      <c r="J138" s="15"/>
      <c r="K138" s="15"/>
      <c r="L138" s="15"/>
      <c r="M138" s="15" t="s">
        <v>2511</v>
      </c>
      <c r="N138" s="15" t="s">
        <v>2512</v>
      </c>
    </row>
    <row r="139" spans="1:14">
      <c r="A139" s="14">
        <v>9956</v>
      </c>
      <c r="B139" s="15" t="s">
        <v>2513</v>
      </c>
      <c r="C139" s="15" t="s">
        <v>2169</v>
      </c>
      <c r="D139" s="15" t="s">
        <v>2514</v>
      </c>
      <c r="E139" s="15" t="s">
        <v>2515</v>
      </c>
      <c r="F139" s="15" t="s">
        <v>2057</v>
      </c>
      <c r="G139" s="15" t="s">
        <v>49</v>
      </c>
      <c r="H139" s="15" t="s">
        <v>49</v>
      </c>
      <c r="I139" s="16" t="s">
        <v>2516</v>
      </c>
      <c r="J139" s="15" t="s">
        <v>2517</v>
      </c>
      <c r="K139" s="15" t="s">
        <v>2518</v>
      </c>
      <c r="L139" s="15"/>
      <c r="M139" s="15" t="s">
        <v>2519</v>
      </c>
      <c r="N139" s="15" t="s">
        <v>2520</v>
      </c>
    </row>
    <row r="140" spans="1:14">
      <c r="A140" s="14">
        <v>9957</v>
      </c>
      <c r="B140" s="15" t="s">
        <v>2521</v>
      </c>
      <c r="C140" s="15" t="s">
        <v>2032</v>
      </c>
      <c r="D140" s="15" t="s">
        <v>2522</v>
      </c>
      <c r="E140" s="15"/>
      <c r="F140" s="15" t="s">
        <v>2035</v>
      </c>
      <c r="G140" s="15" t="s">
        <v>48</v>
      </c>
      <c r="H140" s="15" t="s">
        <v>48</v>
      </c>
      <c r="I140" s="16"/>
      <c r="J140" s="15"/>
      <c r="K140" s="15"/>
      <c r="L140" s="15"/>
      <c r="M140" s="15"/>
      <c r="N140" s="15"/>
    </row>
    <row r="141" spans="1:14">
      <c r="A141" s="14">
        <v>9958</v>
      </c>
      <c r="B141" s="15" t="s">
        <v>2523</v>
      </c>
      <c r="C141" s="15" t="s">
        <v>2214</v>
      </c>
      <c r="D141" s="15" t="s">
        <v>2524</v>
      </c>
      <c r="E141" s="15"/>
      <c r="F141" s="15" t="s">
        <v>2057</v>
      </c>
      <c r="G141" s="15" t="s">
        <v>49</v>
      </c>
      <c r="H141" s="15" t="s">
        <v>49</v>
      </c>
      <c r="I141" s="16"/>
      <c r="J141" s="15"/>
      <c r="K141" s="15"/>
      <c r="L141" s="15" t="s">
        <v>2525</v>
      </c>
      <c r="M141" s="15" t="s">
        <v>2417</v>
      </c>
      <c r="N141" s="15" t="s">
        <v>2512</v>
      </c>
    </row>
    <row r="142" spans="1:14">
      <c r="A142" s="14">
        <v>9959</v>
      </c>
      <c r="B142" s="15" t="s">
        <v>2526</v>
      </c>
      <c r="C142" s="15" t="s">
        <v>2527</v>
      </c>
      <c r="D142" s="15" t="s">
        <v>2528</v>
      </c>
      <c r="E142" s="15"/>
      <c r="F142" s="15" t="s">
        <v>2035</v>
      </c>
      <c r="G142" s="15" t="s">
        <v>48</v>
      </c>
      <c r="H142" s="15" t="s">
        <v>48</v>
      </c>
      <c r="I142" s="16"/>
      <c r="J142" s="15"/>
      <c r="K142" s="15"/>
      <c r="L142" s="15"/>
      <c r="M142" s="15"/>
      <c r="N142" s="15"/>
    </row>
  </sheetData>
  <mergeCells count="11">
    <mergeCell ref="A1:N1"/>
    <mergeCell ref="A2:N2"/>
    <mergeCell ref="A4:N4"/>
    <mergeCell ref="B5:N5"/>
    <mergeCell ref="B6:N6"/>
    <mergeCell ref="A35:N36"/>
    <mergeCell ref="B7:N7"/>
    <mergeCell ref="B8:N8"/>
    <mergeCell ref="B9:N9"/>
    <mergeCell ref="B10:N10"/>
    <mergeCell ref="A34:N34"/>
  </mergeCells>
  <conditionalFormatting sqref="C13:C30">
    <cfRule type="containsText" dxfId="9" priority="1" operator="containsText" text="Mandatory"/>
    <cfRule type="containsText" dxfId="8" priority="2" operator="containsText" text="Conditional"/>
    <cfRule type="containsText" dxfId="7" priority="3" operator="containsText" text="Optional"/>
  </conditionalFormatting>
  <conditionalFormatting sqref="F38:F142">
    <cfRule type="containsText" dxfId="6" priority="4" operator="containsText" text="Active"/>
    <cfRule type="containsText" dxfId="5" priority="5" operator="containsText" text="Deprecated"/>
    <cfRule type="containsText" dxfId="4" priority="6" operator="containsText" text="Removed"/>
  </conditionalFormatting>
  <conditionalFormatting sqref="H38:H142">
    <cfRule type="containsText" dxfId="3" priority="7" operator="containsText" text="No"/>
  </conditionalFormatting>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4"/>
  <sheetViews>
    <sheetView showGridLines="0" workbookViewId="0">
      <pane ySplit="4" topLeftCell="A5" activePane="bottomLeft" state="frozen"/>
      <selection pane="bottomLeft"/>
    </sheetView>
  </sheetViews>
  <sheetFormatPr defaultRowHeight="15"/>
  <cols>
    <col min="1" max="1" width="20" customWidth="1"/>
    <col min="2" max="2" width="31" customWidth="1"/>
    <col min="3" max="3" width="24" customWidth="1"/>
    <col min="4" max="4" width="22" customWidth="1"/>
    <col min="5" max="5" width="20" customWidth="1"/>
    <col min="6" max="6" width="48" customWidth="1"/>
    <col min="7" max="8" width="28" customWidth="1"/>
    <col min="9" max="9" width="13" customWidth="1"/>
    <col min="10" max="10" width="10" customWidth="1"/>
    <col min="11" max="11" width="46" customWidth="1"/>
  </cols>
  <sheetData>
    <row r="1" spans="1:11" ht="32.1" customHeight="1">
      <c r="A1" s="22" t="s">
        <v>2529</v>
      </c>
      <c r="B1" s="22"/>
      <c r="C1" s="22"/>
      <c r="D1" s="22"/>
      <c r="E1" s="22"/>
      <c r="F1" s="22"/>
      <c r="G1" s="22"/>
      <c r="H1" s="22"/>
      <c r="I1" s="22"/>
      <c r="J1" s="22"/>
      <c r="K1" s="22"/>
    </row>
    <row r="2" spans="1:11" ht="33.950000000000003" customHeight="1">
      <c r="A2" s="18" t="s">
        <v>2530</v>
      </c>
      <c r="B2" s="18"/>
      <c r="C2" s="18"/>
      <c r="D2" s="18"/>
      <c r="E2" s="18"/>
      <c r="F2" s="18"/>
      <c r="G2" s="18"/>
      <c r="H2" s="18"/>
      <c r="I2" s="18"/>
      <c r="J2" s="18"/>
      <c r="K2" s="18"/>
    </row>
    <row r="4" spans="1:11" ht="38.1" customHeight="1">
      <c r="A4" s="8" t="s">
        <v>2531</v>
      </c>
      <c r="B4" s="8" t="s">
        <v>1901</v>
      </c>
      <c r="C4" s="8" t="s">
        <v>37</v>
      </c>
      <c r="D4" s="8" t="s">
        <v>2532</v>
      </c>
      <c r="E4" s="8" t="s">
        <v>2533</v>
      </c>
      <c r="F4" s="8" t="s">
        <v>2534</v>
      </c>
      <c r="G4" s="8" t="s">
        <v>2535</v>
      </c>
      <c r="H4" s="8" t="s">
        <v>2536</v>
      </c>
      <c r="I4" s="8" t="s">
        <v>1907</v>
      </c>
      <c r="J4" s="8" t="s">
        <v>2537</v>
      </c>
      <c r="K4" s="8" t="s">
        <v>1908</v>
      </c>
    </row>
    <row r="5" spans="1:11">
      <c r="A5" s="9" t="s">
        <v>2538</v>
      </c>
      <c r="B5" s="9" t="s">
        <v>2539</v>
      </c>
      <c r="C5" s="9" t="s">
        <v>10</v>
      </c>
      <c r="D5" s="9" t="s">
        <v>2540</v>
      </c>
      <c r="E5" s="9" t="s">
        <v>2541</v>
      </c>
      <c r="F5" s="9" t="s">
        <v>2542</v>
      </c>
      <c r="G5" s="9" t="s">
        <v>2543</v>
      </c>
      <c r="H5" s="9" t="s">
        <v>2544</v>
      </c>
      <c r="I5" s="9" t="s">
        <v>49</v>
      </c>
      <c r="J5" s="9" t="s">
        <v>48</v>
      </c>
      <c r="K5" s="9" t="s">
        <v>2545</v>
      </c>
    </row>
    <row r="6" spans="1:11">
      <c r="A6" s="9" t="s">
        <v>2538</v>
      </c>
      <c r="B6" s="9" t="s">
        <v>2546</v>
      </c>
      <c r="C6" s="9" t="s">
        <v>10</v>
      </c>
      <c r="D6" s="9" t="s">
        <v>2540</v>
      </c>
      <c r="E6" s="9" t="s">
        <v>2541</v>
      </c>
      <c r="F6" s="9" t="s">
        <v>2547</v>
      </c>
      <c r="G6" s="9" t="s">
        <v>2548</v>
      </c>
      <c r="H6" s="9" t="s">
        <v>2549</v>
      </c>
      <c r="I6" s="9" t="s">
        <v>1931</v>
      </c>
      <c r="J6" s="9" t="s">
        <v>48</v>
      </c>
      <c r="K6" s="9" t="s">
        <v>2550</v>
      </c>
    </row>
    <row r="7" spans="1:11">
      <c r="A7" s="9" t="s">
        <v>2551</v>
      </c>
      <c r="B7" s="9" t="s">
        <v>2551</v>
      </c>
      <c r="C7" s="9" t="s">
        <v>10</v>
      </c>
      <c r="D7" s="9" t="s">
        <v>2540</v>
      </c>
      <c r="E7" s="9" t="s">
        <v>2541</v>
      </c>
      <c r="F7" s="9" t="s">
        <v>2552</v>
      </c>
      <c r="G7" s="9" t="s">
        <v>2553</v>
      </c>
      <c r="H7" s="9" t="s">
        <v>2554</v>
      </c>
      <c r="I7" s="9" t="s">
        <v>49</v>
      </c>
      <c r="J7" s="9" t="s">
        <v>48</v>
      </c>
      <c r="K7" s="9" t="s">
        <v>2555</v>
      </c>
    </row>
    <row r="8" spans="1:11">
      <c r="A8" s="9" t="s">
        <v>2556</v>
      </c>
      <c r="B8" s="9" t="s">
        <v>1910</v>
      </c>
      <c r="C8" s="9" t="s">
        <v>10</v>
      </c>
      <c r="D8" s="9" t="s">
        <v>2557</v>
      </c>
      <c r="E8" s="9" t="s">
        <v>2541</v>
      </c>
      <c r="F8" s="9" t="s">
        <v>2558</v>
      </c>
      <c r="G8" s="9" t="s">
        <v>2559</v>
      </c>
      <c r="H8" s="9" t="s">
        <v>2560</v>
      </c>
      <c r="I8" s="9" t="s">
        <v>49</v>
      </c>
      <c r="J8" s="9" t="s">
        <v>48</v>
      </c>
      <c r="K8" s="9"/>
    </row>
    <row r="9" spans="1:11">
      <c r="A9" s="9" t="s">
        <v>2556</v>
      </c>
      <c r="B9" s="9" t="s">
        <v>1916</v>
      </c>
      <c r="C9" s="9" t="s">
        <v>10</v>
      </c>
      <c r="D9" s="9" t="s">
        <v>2557</v>
      </c>
      <c r="E9" s="9" t="s">
        <v>2541</v>
      </c>
      <c r="F9" s="9" t="s">
        <v>2561</v>
      </c>
      <c r="G9" s="9" t="s">
        <v>2562</v>
      </c>
      <c r="H9" s="9" t="s">
        <v>2560</v>
      </c>
      <c r="I9" s="9" t="s">
        <v>49</v>
      </c>
      <c r="J9" s="9" t="s">
        <v>48</v>
      </c>
      <c r="K9" s="9"/>
    </row>
    <row r="10" spans="1:11">
      <c r="A10" s="9" t="s">
        <v>2556</v>
      </c>
      <c r="B10" s="9" t="s">
        <v>2563</v>
      </c>
      <c r="C10" s="9" t="s">
        <v>14</v>
      </c>
      <c r="D10" s="9" t="s">
        <v>2557</v>
      </c>
      <c r="E10" s="9" t="s">
        <v>2541</v>
      </c>
      <c r="F10" s="9" t="s">
        <v>2564</v>
      </c>
      <c r="G10" s="9" t="s">
        <v>2565</v>
      </c>
      <c r="H10" s="9" t="s">
        <v>2566</v>
      </c>
      <c r="I10" s="9" t="s">
        <v>1931</v>
      </c>
      <c r="J10" s="9" t="s">
        <v>48</v>
      </c>
      <c r="K10" s="9"/>
    </row>
    <row r="11" spans="1:11">
      <c r="A11" s="9" t="s">
        <v>2556</v>
      </c>
      <c r="B11" s="9" t="s">
        <v>2567</v>
      </c>
      <c r="C11" s="9" t="s">
        <v>14</v>
      </c>
      <c r="D11" s="9" t="s">
        <v>2557</v>
      </c>
      <c r="E11" s="9" t="s">
        <v>2541</v>
      </c>
      <c r="F11" s="9" t="s">
        <v>2568</v>
      </c>
      <c r="G11" s="9" t="s">
        <v>2569</v>
      </c>
      <c r="H11" s="9" t="s">
        <v>2566</v>
      </c>
      <c r="I11" s="9" t="s">
        <v>1931</v>
      </c>
      <c r="J11" s="9" t="s">
        <v>48</v>
      </c>
      <c r="K11" s="9"/>
    </row>
    <row r="12" spans="1:11">
      <c r="A12" s="9" t="s">
        <v>2570</v>
      </c>
      <c r="B12" s="9" t="s">
        <v>2571</v>
      </c>
      <c r="C12" s="9" t="s">
        <v>10</v>
      </c>
      <c r="D12" s="9" t="s">
        <v>2557</v>
      </c>
      <c r="E12" s="9" t="s">
        <v>2541</v>
      </c>
      <c r="F12" s="9" t="s">
        <v>2572</v>
      </c>
      <c r="G12" s="9" t="s">
        <v>2573</v>
      </c>
      <c r="H12" s="9" t="s">
        <v>2574</v>
      </c>
      <c r="I12" s="9" t="s">
        <v>49</v>
      </c>
      <c r="J12" s="9" t="s">
        <v>48</v>
      </c>
      <c r="K12" s="9" t="s">
        <v>2575</v>
      </c>
    </row>
    <row r="13" spans="1:11">
      <c r="A13" s="9" t="s">
        <v>2570</v>
      </c>
      <c r="B13" s="9" t="s">
        <v>2576</v>
      </c>
      <c r="C13" s="9" t="s">
        <v>10</v>
      </c>
      <c r="D13" s="9" t="s">
        <v>2557</v>
      </c>
      <c r="E13" s="9" t="s">
        <v>2541</v>
      </c>
      <c r="F13" s="9" t="s">
        <v>2577</v>
      </c>
      <c r="G13" s="9" t="s">
        <v>2573</v>
      </c>
      <c r="H13" s="9" t="s">
        <v>2578</v>
      </c>
      <c r="I13" s="9" t="s">
        <v>1931</v>
      </c>
      <c r="J13" s="9" t="s">
        <v>48</v>
      </c>
      <c r="K13" s="9"/>
    </row>
    <row r="14" spans="1:11">
      <c r="A14" s="9" t="s">
        <v>2570</v>
      </c>
      <c r="B14" s="9" t="s">
        <v>2579</v>
      </c>
      <c r="C14" s="9" t="s">
        <v>10</v>
      </c>
      <c r="D14" s="9" t="s">
        <v>2557</v>
      </c>
      <c r="E14" s="9" t="s">
        <v>2541</v>
      </c>
      <c r="F14" s="9" t="s">
        <v>2580</v>
      </c>
      <c r="G14" s="9" t="s">
        <v>2581</v>
      </c>
      <c r="H14" s="9" t="s">
        <v>2582</v>
      </c>
      <c r="I14" s="9" t="s">
        <v>48</v>
      </c>
      <c r="J14" s="9" t="s">
        <v>48</v>
      </c>
      <c r="K14" s="9"/>
    </row>
    <row r="15" spans="1:11">
      <c r="A15" s="9" t="s">
        <v>2583</v>
      </c>
      <c r="B15" s="9" t="s">
        <v>2584</v>
      </c>
      <c r="C15" s="9" t="s">
        <v>10</v>
      </c>
      <c r="D15" s="9" t="s">
        <v>2540</v>
      </c>
      <c r="E15" s="9" t="s">
        <v>2541</v>
      </c>
      <c r="F15" s="9" t="s">
        <v>2585</v>
      </c>
      <c r="G15" s="9" t="s">
        <v>2586</v>
      </c>
      <c r="H15" s="9" t="s">
        <v>2587</v>
      </c>
      <c r="I15" s="9" t="s">
        <v>49</v>
      </c>
      <c r="J15" s="9" t="s">
        <v>48</v>
      </c>
      <c r="K15" s="9"/>
    </row>
    <row r="16" spans="1:11">
      <c r="A16" s="9" t="s">
        <v>2583</v>
      </c>
      <c r="B16" s="9" t="s">
        <v>2588</v>
      </c>
      <c r="C16" s="9" t="s">
        <v>10</v>
      </c>
      <c r="D16" s="9" t="s">
        <v>2540</v>
      </c>
      <c r="E16" s="9" t="s">
        <v>2541</v>
      </c>
      <c r="F16" s="9" t="s">
        <v>2589</v>
      </c>
      <c r="G16" s="9" t="s">
        <v>2586</v>
      </c>
      <c r="H16" s="9" t="s">
        <v>2587</v>
      </c>
      <c r="I16" s="9" t="s">
        <v>49</v>
      </c>
      <c r="J16" s="9" t="s">
        <v>48</v>
      </c>
      <c r="K16" s="9"/>
    </row>
    <row r="17" spans="1:11">
      <c r="A17" s="9" t="s">
        <v>2583</v>
      </c>
      <c r="B17" s="9" t="s">
        <v>2590</v>
      </c>
      <c r="C17" s="9" t="s">
        <v>10</v>
      </c>
      <c r="D17" s="9" t="s">
        <v>2540</v>
      </c>
      <c r="E17" s="9" t="s">
        <v>2541</v>
      </c>
      <c r="F17" s="9" t="s">
        <v>2591</v>
      </c>
      <c r="G17" s="9" t="s">
        <v>2592</v>
      </c>
      <c r="H17" s="9" t="s">
        <v>2593</v>
      </c>
      <c r="I17" s="9" t="s">
        <v>49</v>
      </c>
      <c r="J17" s="9" t="s">
        <v>48</v>
      </c>
      <c r="K17" s="9" t="s">
        <v>2594</v>
      </c>
    </row>
    <row r="18" spans="1:11">
      <c r="A18" s="9" t="s">
        <v>2583</v>
      </c>
      <c r="B18" s="9" t="s">
        <v>2595</v>
      </c>
      <c r="C18" s="9" t="s">
        <v>10</v>
      </c>
      <c r="D18" s="9" t="s">
        <v>2540</v>
      </c>
      <c r="E18" s="9" t="s">
        <v>2541</v>
      </c>
      <c r="F18" s="9" t="s">
        <v>2596</v>
      </c>
      <c r="G18" s="9" t="s">
        <v>2592</v>
      </c>
      <c r="H18" s="9" t="s">
        <v>2593</v>
      </c>
      <c r="I18" s="9" t="s">
        <v>49</v>
      </c>
      <c r="J18" s="9" t="s">
        <v>48</v>
      </c>
      <c r="K18" s="9"/>
    </row>
    <row r="19" spans="1:11">
      <c r="A19" s="9" t="s">
        <v>2597</v>
      </c>
      <c r="B19" s="9" t="s">
        <v>2598</v>
      </c>
      <c r="C19" s="9" t="s">
        <v>10</v>
      </c>
      <c r="D19" s="9" t="s">
        <v>2599</v>
      </c>
      <c r="E19" s="9" t="s">
        <v>2600</v>
      </c>
      <c r="F19" s="9" t="s">
        <v>2601</v>
      </c>
      <c r="G19" s="9" t="s">
        <v>2602</v>
      </c>
      <c r="H19" s="9" t="s">
        <v>2603</v>
      </c>
      <c r="I19" s="9" t="s">
        <v>48</v>
      </c>
      <c r="J19" s="9" t="s">
        <v>48</v>
      </c>
      <c r="K19" s="9" t="s">
        <v>2604</v>
      </c>
    </row>
    <row r="20" spans="1:11">
      <c r="A20" s="9" t="s">
        <v>2597</v>
      </c>
      <c r="B20" s="9" t="s">
        <v>2605</v>
      </c>
      <c r="C20" s="9" t="s">
        <v>10</v>
      </c>
      <c r="D20" s="9" t="s">
        <v>2599</v>
      </c>
      <c r="E20" s="9" t="s">
        <v>2600</v>
      </c>
      <c r="F20" s="9" t="s">
        <v>2606</v>
      </c>
      <c r="G20" s="9" t="s">
        <v>2602</v>
      </c>
      <c r="H20" s="9" t="s">
        <v>2607</v>
      </c>
      <c r="I20" s="9" t="s">
        <v>48</v>
      </c>
      <c r="J20" s="9" t="s">
        <v>48</v>
      </c>
      <c r="K20" s="9" t="s">
        <v>2608</v>
      </c>
    </row>
    <row r="21" spans="1:11">
      <c r="A21" s="9" t="s">
        <v>2597</v>
      </c>
      <c r="B21" s="9" t="s">
        <v>2609</v>
      </c>
      <c r="C21" s="9" t="s">
        <v>2610</v>
      </c>
      <c r="D21" s="9" t="s">
        <v>2540</v>
      </c>
      <c r="E21" s="9" t="s">
        <v>2541</v>
      </c>
      <c r="F21" s="9" t="s">
        <v>2611</v>
      </c>
      <c r="G21" s="9" t="s">
        <v>2612</v>
      </c>
      <c r="H21" s="9" t="s">
        <v>2613</v>
      </c>
      <c r="I21" s="9" t="s">
        <v>49</v>
      </c>
      <c r="J21" s="9" t="s">
        <v>48</v>
      </c>
      <c r="K21" s="9"/>
    </row>
    <row r="22" spans="1:11">
      <c r="A22" s="9" t="s">
        <v>2597</v>
      </c>
      <c r="B22" s="9" t="s">
        <v>2614</v>
      </c>
      <c r="C22" s="9" t="s">
        <v>2610</v>
      </c>
      <c r="D22" s="9" t="s">
        <v>2540</v>
      </c>
      <c r="E22" s="9" t="s">
        <v>2541</v>
      </c>
      <c r="F22" s="9" t="s">
        <v>2615</v>
      </c>
      <c r="G22" s="9" t="s">
        <v>2616</v>
      </c>
      <c r="H22" s="9" t="s">
        <v>2617</v>
      </c>
      <c r="I22" s="9" t="s">
        <v>48</v>
      </c>
      <c r="J22" s="9" t="s">
        <v>48</v>
      </c>
      <c r="K22" s="9" t="s">
        <v>2618</v>
      </c>
    </row>
    <row r="23" spans="1:11">
      <c r="A23" s="9" t="s">
        <v>2597</v>
      </c>
      <c r="B23" s="9" t="s">
        <v>2619</v>
      </c>
      <c r="C23" s="9" t="s">
        <v>2620</v>
      </c>
      <c r="D23" s="9" t="s">
        <v>2621</v>
      </c>
      <c r="E23" s="9" t="s">
        <v>2622</v>
      </c>
      <c r="F23" s="9" t="s">
        <v>2623</v>
      </c>
      <c r="G23" s="9" t="s">
        <v>2624</v>
      </c>
      <c r="H23" s="9" t="s">
        <v>2625</v>
      </c>
      <c r="I23" s="9" t="s">
        <v>48</v>
      </c>
      <c r="J23" s="9" t="s">
        <v>48</v>
      </c>
      <c r="K23" s="9"/>
    </row>
    <row r="24" spans="1:11">
      <c r="A24" s="9" t="s">
        <v>2626</v>
      </c>
      <c r="B24" s="9" t="s">
        <v>2627</v>
      </c>
      <c r="C24" s="9" t="s">
        <v>10</v>
      </c>
      <c r="D24" s="9" t="s">
        <v>2540</v>
      </c>
      <c r="E24" s="9" t="s">
        <v>2541</v>
      </c>
      <c r="F24" s="9" t="s">
        <v>2628</v>
      </c>
      <c r="G24" s="9" t="s">
        <v>2629</v>
      </c>
      <c r="H24" s="9" t="s">
        <v>2560</v>
      </c>
      <c r="I24" s="9" t="s">
        <v>1931</v>
      </c>
      <c r="J24" s="9" t="s">
        <v>48</v>
      </c>
      <c r="K24" s="9"/>
    </row>
    <row r="25" spans="1:11">
      <c r="A25" s="9" t="s">
        <v>2626</v>
      </c>
      <c r="B25" s="9" t="s">
        <v>2630</v>
      </c>
      <c r="C25" s="9" t="s">
        <v>14</v>
      </c>
      <c r="D25" s="9" t="s">
        <v>2631</v>
      </c>
      <c r="E25" s="9" t="s">
        <v>2541</v>
      </c>
      <c r="F25" s="9" t="s">
        <v>2632</v>
      </c>
      <c r="G25" s="9" t="s">
        <v>2633</v>
      </c>
      <c r="H25" s="9" t="s">
        <v>2560</v>
      </c>
      <c r="I25" s="9" t="s">
        <v>1931</v>
      </c>
      <c r="J25" s="9" t="s">
        <v>48</v>
      </c>
      <c r="K25" s="9"/>
    </row>
    <row r="26" spans="1:11">
      <c r="A26" s="9" t="s">
        <v>2626</v>
      </c>
      <c r="B26" s="9" t="s">
        <v>2634</v>
      </c>
      <c r="C26" s="9" t="s">
        <v>14</v>
      </c>
      <c r="D26" s="9" t="s">
        <v>2540</v>
      </c>
      <c r="E26" s="9" t="s">
        <v>2541</v>
      </c>
      <c r="F26" s="9" t="s">
        <v>2635</v>
      </c>
      <c r="G26" s="9" t="s">
        <v>2636</v>
      </c>
      <c r="H26" s="9" t="s">
        <v>2637</v>
      </c>
      <c r="I26" s="9" t="s">
        <v>49</v>
      </c>
      <c r="J26" s="9" t="s">
        <v>48</v>
      </c>
      <c r="K26" s="9" t="s">
        <v>2638</v>
      </c>
    </row>
    <row r="27" spans="1:11">
      <c r="A27" s="9" t="s">
        <v>2626</v>
      </c>
      <c r="B27" s="9" t="s">
        <v>2639</v>
      </c>
      <c r="C27" s="9" t="s">
        <v>10</v>
      </c>
      <c r="D27" s="9" t="s">
        <v>2621</v>
      </c>
      <c r="E27" s="9" t="s">
        <v>2640</v>
      </c>
      <c r="F27" s="9" t="s">
        <v>2641</v>
      </c>
      <c r="G27" s="9" t="s">
        <v>2642</v>
      </c>
      <c r="H27" s="9" t="s">
        <v>2643</v>
      </c>
      <c r="I27" s="9" t="s">
        <v>49</v>
      </c>
      <c r="J27" s="9" t="s">
        <v>48</v>
      </c>
      <c r="K27" s="9"/>
    </row>
    <row r="28" spans="1:11">
      <c r="A28" s="9" t="s">
        <v>2644</v>
      </c>
      <c r="B28" s="9" t="s">
        <v>2645</v>
      </c>
      <c r="C28" s="9" t="s">
        <v>10</v>
      </c>
      <c r="D28" s="9" t="s">
        <v>2646</v>
      </c>
      <c r="E28" s="9" t="s">
        <v>2541</v>
      </c>
      <c r="F28" s="9" t="s">
        <v>2647</v>
      </c>
      <c r="G28" s="9" t="s">
        <v>2648</v>
      </c>
      <c r="H28" s="9" t="s">
        <v>2649</v>
      </c>
      <c r="I28" s="9" t="s">
        <v>48</v>
      </c>
      <c r="J28" s="9" t="s">
        <v>48</v>
      </c>
      <c r="K28" s="9" t="s">
        <v>2650</v>
      </c>
    </row>
    <row r="29" spans="1:11">
      <c r="A29" s="9" t="s">
        <v>2644</v>
      </c>
      <c r="B29" s="9" t="s">
        <v>2651</v>
      </c>
      <c r="C29" s="9" t="s">
        <v>14</v>
      </c>
      <c r="D29" s="9" t="s">
        <v>2631</v>
      </c>
      <c r="E29" s="9" t="s">
        <v>2541</v>
      </c>
      <c r="F29" s="9" t="s">
        <v>2652</v>
      </c>
      <c r="G29" s="9" t="s">
        <v>2653</v>
      </c>
      <c r="H29" s="9" t="s">
        <v>2654</v>
      </c>
      <c r="I29" s="9" t="s">
        <v>1931</v>
      </c>
      <c r="J29" s="9" t="s">
        <v>48</v>
      </c>
      <c r="K29" s="9"/>
    </row>
    <row r="30" spans="1:11">
      <c r="A30" s="9" t="s">
        <v>2655</v>
      </c>
      <c r="B30" s="9" t="s">
        <v>2656</v>
      </c>
      <c r="C30" s="9" t="s">
        <v>10</v>
      </c>
      <c r="D30" s="9" t="s">
        <v>2599</v>
      </c>
      <c r="E30" s="9" t="s">
        <v>2600</v>
      </c>
      <c r="F30" s="9" t="s">
        <v>2657</v>
      </c>
      <c r="G30" s="9" t="s">
        <v>2658</v>
      </c>
      <c r="H30" s="9" t="s">
        <v>2659</v>
      </c>
      <c r="I30" s="9" t="s">
        <v>49</v>
      </c>
      <c r="J30" s="9" t="s">
        <v>48</v>
      </c>
      <c r="K30" s="9"/>
    </row>
    <row r="31" spans="1:11">
      <c r="A31" s="9" t="s">
        <v>2655</v>
      </c>
      <c r="B31" s="9" t="s">
        <v>2660</v>
      </c>
      <c r="C31" s="9" t="s">
        <v>10</v>
      </c>
      <c r="D31" s="9" t="s">
        <v>2661</v>
      </c>
      <c r="E31" s="9" t="s">
        <v>2600</v>
      </c>
      <c r="F31" s="9" t="s">
        <v>2662</v>
      </c>
      <c r="G31" s="9" t="s">
        <v>2658</v>
      </c>
      <c r="H31" s="9" t="s">
        <v>2659</v>
      </c>
      <c r="I31" s="9" t="s">
        <v>49</v>
      </c>
      <c r="J31" s="9" t="s">
        <v>48</v>
      </c>
      <c r="K31" s="9"/>
    </row>
    <row r="32" spans="1:11">
      <c r="A32" s="9" t="s">
        <v>2663</v>
      </c>
      <c r="B32" s="9" t="s">
        <v>2664</v>
      </c>
      <c r="C32" s="9" t="s">
        <v>14</v>
      </c>
      <c r="D32" s="9" t="s">
        <v>2540</v>
      </c>
      <c r="E32" s="9" t="s">
        <v>2541</v>
      </c>
      <c r="F32" s="9" t="s">
        <v>2665</v>
      </c>
      <c r="G32" s="9" t="s">
        <v>2666</v>
      </c>
      <c r="H32" s="9" t="s">
        <v>2667</v>
      </c>
      <c r="I32" s="9" t="s">
        <v>49</v>
      </c>
      <c r="J32" s="9" t="s">
        <v>48</v>
      </c>
      <c r="K32" s="9"/>
    </row>
    <row r="33" spans="1:11">
      <c r="A33" s="9" t="s">
        <v>2663</v>
      </c>
      <c r="B33" s="9" t="s">
        <v>2668</v>
      </c>
      <c r="C33" s="9" t="s">
        <v>10</v>
      </c>
      <c r="D33" s="9" t="s">
        <v>2599</v>
      </c>
      <c r="E33" s="9" t="s">
        <v>2600</v>
      </c>
      <c r="F33" s="9" t="s">
        <v>2669</v>
      </c>
      <c r="G33" s="9" t="s">
        <v>2670</v>
      </c>
      <c r="H33" s="9" t="s">
        <v>2671</v>
      </c>
      <c r="I33" s="9" t="s">
        <v>49</v>
      </c>
      <c r="J33" s="9" t="s">
        <v>48</v>
      </c>
      <c r="K33" s="9"/>
    </row>
    <row r="34" spans="1:11">
      <c r="A34" s="9" t="s">
        <v>2663</v>
      </c>
      <c r="B34" s="9" t="s">
        <v>2672</v>
      </c>
      <c r="C34" s="9" t="s">
        <v>10</v>
      </c>
      <c r="D34" s="9" t="s">
        <v>2599</v>
      </c>
      <c r="E34" s="9" t="s">
        <v>2600</v>
      </c>
      <c r="F34" s="9" t="s">
        <v>2673</v>
      </c>
      <c r="G34" s="9" t="s">
        <v>2674</v>
      </c>
      <c r="H34" s="9" t="s">
        <v>2675</v>
      </c>
      <c r="I34" s="9" t="s">
        <v>49</v>
      </c>
      <c r="J34" s="9" t="s">
        <v>48</v>
      </c>
      <c r="K34" s="9" t="s">
        <v>2676</v>
      </c>
    </row>
  </sheetData>
  <mergeCells count="2">
    <mergeCell ref="A1:K1"/>
    <mergeCell ref="A2:K2"/>
  </mergeCells>
  <conditionalFormatting sqref="C5:C34">
    <cfRule type="containsText" dxfId="2" priority="1" operator="containsText" text="Mandatory"/>
    <cfRule type="containsText" dxfId="1" priority="2" operator="containsText" text="Conditional"/>
    <cfRule type="containsText" dxfId="0" priority="3" operator="containsText" text="Optional"/>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3"/>
  <sheetViews>
    <sheetView showGridLines="0" workbookViewId="0">
      <pane ySplit="4" topLeftCell="A5" activePane="bottomLeft" state="frozen"/>
      <selection pane="bottomLeft"/>
    </sheetView>
  </sheetViews>
  <sheetFormatPr defaultRowHeight="15"/>
  <cols>
    <col min="1" max="1" width="23" customWidth="1"/>
    <col min="2" max="2" width="27" customWidth="1"/>
    <col min="3" max="3" width="29" customWidth="1"/>
    <col min="4" max="4" width="38" customWidth="1"/>
    <col min="5" max="5" width="52" customWidth="1"/>
    <col min="6" max="6" width="50" customWidth="1"/>
    <col min="7" max="7" width="38" customWidth="1"/>
    <col min="8" max="8" width="32" customWidth="1"/>
    <col min="9" max="10" width="39" customWidth="1"/>
    <col min="11" max="11" width="12" customWidth="1"/>
    <col min="12" max="12" width="44" customWidth="1"/>
  </cols>
  <sheetData>
    <row r="1" spans="1:12" ht="32.1" customHeight="1">
      <c r="A1" s="22" t="s">
        <v>2677</v>
      </c>
      <c r="B1" s="22"/>
      <c r="C1" s="22"/>
      <c r="D1" s="22"/>
      <c r="E1" s="22"/>
      <c r="F1" s="22"/>
      <c r="G1" s="22"/>
      <c r="H1" s="22"/>
      <c r="I1" s="22"/>
      <c r="J1" s="22"/>
      <c r="K1" s="22"/>
      <c r="L1" s="22"/>
    </row>
    <row r="2" spans="1:12" ht="33.950000000000003" customHeight="1">
      <c r="A2" s="18" t="s">
        <v>2678</v>
      </c>
      <c r="B2" s="18"/>
      <c r="C2" s="18"/>
      <c r="D2" s="18"/>
      <c r="E2" s="18"/>
      <c r="F2" s="18"/>
      <c r="G2" s="18"/>
      <c r="H2" s="18"/>
      <c r="I2" s="18"/>
      <c r="J2" s="18"/>
      <c r="K2" s="18"/>
      <c r="L2" s="18"/>
    </row>
    <row r="4" spans="1:12" ht="38.1" customHeight="1">
      <c r="A4" s="8" t="s">
        <v>2679</v>
      </c>
      <c r="B4" s="8" t="s">
        <v>2680</v>
      </c>
      <c r="C4" s="8" t="s">
        <v>2681</v>
      </c>
      <c r="D4" s="8" t="s">
        <v>2682</v>
      </c>
      <c r="E4" s="8" t="s">
        <v>2683</v>
      </c>
      <c r="F4" s="8" t="s">
        <v>2684</v>
      </c>
      <c r="G4" s="8" t="s">
        <v>2685</v>
      </c>
      <c r="H4" s="8" t="s">
        <v>2686</v>
      </c>
      <c r="I4" s="8" t="s">
        <v>2687</v>
      </c>
      <c r="J4" s="8" t="s">
        <v>2688</v>
      </c>
      <c r="K4" s="8" t="s">
        <v>2689</v>
      </c>
      <c r="L4" s="8" t="s">
        <v>2690</v>
      </c>
    </row>
    <row r="5" spans="1:12">
      <c r="A5" s="9" t="s">
        <v>2691</v>
      </c>
      <c r="B5" s="9" t="s">
        <v>2692</v>
      </c>
      <c r="C5" s="9" t="s">
        <v>2693</v>
      </c>
      <c r="D5" s="9" t="s">
        <v>2694</v>
      </c>
      <c r="E5" s="9" t="s">
        <v>2695</v>
      </c>
      <c r="F5" s="9" t="s">
        <v>2696</v>
      </c>
      <c r="G5" s="9" t="s">
        <v>2697</v>
      </c>
      <c r="H5" s="9" t="s">
        <v>2698</v>
      </c>
      <c r="I5" s="9" t="s">
        <v>2699</v>
      </c>
      <c r="J5" s="9" t="s">
        <v>2700</v>
      </c>
      <c r="K5" s="9" t="s">
        <v>49</v>
      </c>
      <c r="L5" s="9" t="s">
        <v>2701</v>
      </c>
    </row>
    <row r="6" spans="1:12">
      <c r="A6" s="9" t="s">
        <v>2702</v>
      </c>
      <c r="B6" s="9" t="s">
        <v>2703</v>
      </c>
      <c r="C6" s="9" t="s">
        <v>2693</v>
      </c>
      <c r="D6" s="9" t="s">
        <v>2704</v>
      </c>
      <c r="E6" s="9" t="s">
        <v>2705</v>
      </c>
      <c r="F6" s="9" t="s">
        <v>2706</v>
      </c>
      <c r="G6" s="9" t="s">
        <v>2707</v>
      </c>
      <c r="H6" s="9" t="s">
        <v>2708</v>
      </c>
      <c r="I6" s="9" t="s">
        <v>2709</v>
      </c>
      <c r="J6" s="9" t="s">
        <v>2710</v>
      </c>
      <c r="K6" s="9" t="s">
        <v>49</v>
      </c>
      <c r="L6" s="9" t="s">
        <v>2711</v>
      </c>
    </row>
    <row r="7" spans="1:12">
      <c r="A7" s="9" t="s">
        <v>2712</v>
      </c>
      <c r="B7" s="9" t="s">
        <v>2713</v>
      </c>
      <c r="C7" s="9" t="s">
        <v>2693</v>
      </c>
      <c r="D7" s="9" t="s">
        <v>2714</v>
      </c>
      <c r="E7" s="9" t="s">
        <v>2715</v>
      </c>
      <c r="F7" s="9" t="s">
        <v>2716</v>
      </c>
      <c r="G7" s="9" t="s">
        <v>2717</v>
      </c>
      <c r="H7" s="9" t="s">
        <v>2718</v>
      </c>
      <c r="I7" s="9" t="s">
        <v>2719</v>
      </c>
      <c r="J7" s="9" t="s">
        <v>2720</v>
      </c>
      <c r="K7" s="9" t="s">
        <v>49</v>
      </c>
      <c r="L7" s="9" t="s">
        <v>2721</v>
      </c>
    </row>
    <row r="8" spans="1:12">
      <c r="A8" s="9" t="s">
        <v>2722</v>
      </c>
      <c r="B8" s="9" t="s">
        <v>2035</v>
      </c>
      <c r="C8" s="9" t="s">
        <v>2723</v>
      </c>
      <c r="D8" s="9" t="s">
        <v>2724</v>
      </c>
      <c r="E8" s="9" t="s">
        <v>2725</v>
      </c>
      <c r="F8" s="9" t="s">
        <v>2726</v>
      </c>
      <c r="G8" s="9" t="s">
        <v>2727</v>
      </c>
      <c r="H8" s="9" t="s">
        <v>2728</v>
      </c>
      <c r="I8" s="9" t="s">
        <v>2729</v>
      </c>
      <c r="J8" s="9" t="s">
        <v>2730</v>
      </c>
      <c r="K8" s="9" t="s">
        <v>49</v>
      </c>
      <c r="L8" s="9" t="s">
        <v>2731</v>
      </c>
    </row>
    <row r="9" spans="1:12">
      <c r="A9" s="9" t="s">
        <v>2732</v>
      </c>
      <c r="B9" s="9" t="s">
        <v>2733</v>
      </c>
      <c r="C9" s="9" t="s">
        <v>2734</v>
      </c>
      <c r="D9" s="9" t="s">
        <v>2735</v>
      </c>
      <c r="E9" s="9" t="s">
        <v>2736</v>
      </c>
      <c r="F9" s="9" t="s">
        <v>2737</v>
      </c>
      <c r="G9" s="9" t="s">
        <v>2738</v>
      </c>
      <c r="H9" s="9" t="s">
        <v>2739</v>
      </c>
      <c r="I9" s="9" t="s">
        <v>2740</v>
      </c>
      <c r="J9" s="9" t="s">
        <v>2741</v>
      </c>
      <c r="K9" s="9" t="s">
        <v>49</v>
      </c>
      <c r="L9" s="9" t="s">
        <v>2742</v>
      </c>
    </row>
    <row r="10" spans="1:12">
      <c r="A10" s="9" t="s">
        <v>2743</v>
      </c>
      <c r="B10" s="9" t="s">
        <v>2744</v>
      </c>
      <c r="C10" s="9" t="s">
        <v>2745</v>
      </c>
      <c r="D10" s="9" t="s">
        <v>2746</v>
      </c>
      <c r="E10" s="9" t="s">
        <v>2747</v>
      </c>
      <c r="F10" s="9" t="s">
        <v>2748</v>
      </c>
      <c r="G10" s="9" t="s">
        <v>2749</v>
      </c>
      <c r="H10" s="9" t="s">
        <v>2750</v>
      </c>
      <c r="I10" s="9" t="s">
        <v>2751</v>
      </c>
      <c r="J10" s="9" t="s">
        <v>2720</v>
      </c>
      <c r="K10" s="9" t="s">
        <v>49</v>
      </c>
      <c r="L10" s="9" t="s">
        <v>2752</v>
      </c>
    </row>
    <row r="11" spans="1:12">
      <c r="A11" s="9" t="s">
        <v>2753</v>
      </c>
      <c r="B11" s="9" t="s">
        <v>2754</v>
      </c>
      <c r="C11" s="9" t="s">
        <v>2693</v>
      </c>
      <c r="D11" s="9" t="s">
        <v>2755</v>
      </c>
      <c r="E11" s="9" t="s">
        <v>2756</v>
      </c>
      <c r="F11" s="9" t="s">
        <v>2757</v>
      </c>
      <c r="G11" s="9" t="s">
        <v>2758</v>
      </c>
      <c r="H11" s="9" t="s">
        <v>2759</v>
      </c>
      <c r="I11" s="9" t="s">
        <v>2760</v>
      </c>
      <c r="J11" s="9" t="s">
        <v>2761</v>
      </c>
      <c r="K11" s="9" t="s">
        <v>49</v>
      </c>
      <c r="L11" s="9" t="s">
        <v>2762</v>
      </c>
    </row>
    <row r="12" spans="1:12">
      <c r="A12" s="9" t="s">
        <v>2763</v>
      </c>
      <c r="B12" s="9" t="s">
        <v>2057</v>
      </c>
      <c r="C12" s="9" t="s">
        <v>2764</v>
      </c>
      <c r="D12" s="9" t="s">
        <v>2765</v>
      </c>
      <c r="E12" s="9" t="s">
        <v>2766</v>
      </c>
      <c r="F12" s="9" t="s">
        <v>2767</v>
      </c>
      <c r="G12" s="9" t="s">
        <v>2768</v>
      </c>
      <c r="H12" s="9" t="s">
        <v>2769</v>
      </c>
      <c r="I12" s="9" t="s">
        <v>2770</v>
      </c>
      <c r="J12" s="9" t="s">
        <v>2771</v>
      </c>
      <c r="K12" s="9" t="s">
        <v>48</v>
      </c>
      <c r="L12" s="9" t="s">
        <v>2772</v>
      </c>
    </row>
    <row r="13" spans="1:12">
      <c r="A13" s="9" t="s">
        <v>2773</v>
      </c>
      <c r="B13" s="9" t="s">
        <v>2774</v>
      </c>
      <c r="C13" s="9" t="s">
        <v>2693</v>
      </c>
      <c r="D13" s="9" t="s">
        <v>2775</v>
      </c>
      <c r="E13" s="9" t="s">
        <v>2776</v>
      </c>
      <c r="F13" s="9" t="s">
        <v>2777</v>
      </c>
      <c r="G13" s="9" t="s">
        <v>2778</v>
      </c>
      <c r="H13" s="9" t="s">
        <v>2779</v>
      </c>
      <c r="I13" s="9" t="s">
        <v>2780</v>
      </c>
      <c r="J13" s="9" t="s">
        <v>2781</v>
      </c>
      <c r="K13" s="9" t="s">
        <v>2782</v>
      </c>
      <c r="L13" s="9" t="s">
        <v>2783</v>
      </c>
    </row>
  </sheetData>
  <mergeCells count="2">
    <mergeCell ref="A1:L1"/>
    <mergeCell ref="A2:L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7"/>
  <sheetViews>
    <sheetView showGridLines="0" workbookViewId="0">
      <pane ySplit="4" topLeftCell="A5" activePane="bottomLeft" state="frozen"/>
      <selection pane="bottomLeft"/>
    </sheetView>
  </sheetViews>
  <sheetFormatPr defaultRowHeight="15"/>
  <cols>
    <col min="1" max="1" width="23" customWidth="1"/>
    <col min="2" max="2" width="26" customWidth="1"/>
    <col min="3" max="3" width="34" customWidth="1"/>
    <col min="4" max="4" width="25" customWidth="1"/>
    <col min="5" max="5" width="44" customWidth="1"/>
    <col min="6" max="7" width="62" customWidth="1"/>
    <col min="8" max="8" width="34" customWidth="1"/>
    <col min="9" max="9" width="45" customWidth="1"/>
    <col min="10" max="10" width="18" customWidth="1"/>
    <col min="11" max="11" width="20" customWidth="1"/>
    <col min="12" max="12" width="30" customWidth="1"/>
    <col min="13" max="13" width="45" customWidth="1"/>
  </cols>
  <sheetData>
    <row r="1" spans="1:13" ht="32.1" customHeight="1">
      <c r="A1" s="22" t="s">
        <v>2784</v>
      </c>
      <c r="B1" s="22"/>
      <c r="C1" s="22"/>
      <c r="D1" s="22"/>
      <c r="E1" s="22"/>
      <c r="F1" s="22"/>
      <c r="G1" s="22"/>
      <c r="H1" s="22"/>
      <c r="I1" s="22"/>
      <c r="J1" s="22"/>
      <c r="K1" s="22"/>
      <c r="L1" s="22"/>
      <c r="M1" s="22"/>
    </row>
    <row r="2" spans="1:13" ht="33.950000000000003" customHeight="1">
      <c r="A2" s="18" t="s">
        <v>2785</v>
      </c>
      <c r="B2" s="18"/>
      <c r="C2" s="18"/>
      <c r="D2" s="18"/>
      <c r="E2" s="18"/>
      <c r="F2" s="18"/>
      <c r="G2" s="18"/>
      <c r="H2" s="18"/>
      <c r="I2" s="18"/>
      <c r="J2" s="18"/>
      <c r="K2" s="18"/>
      <c r="L2" s="18"/>
      <c r="M2" s="18"/>
    </row>
    <row r="4" spans="1:13" ht="38.1" customHeight="1">
      <c r="A4" s="8" t="s">
        <v>2786</v>
      </c>
      <c r="B4" s="8" t="s">
        <v>2787</v>
      </c>
      <c r="C4" s="8" t="s">
        <v>2680</v>
      </c>
      <c r="D4" s="8" t="s">
        <v>2788</v>
      </c>
      <c r="E4" s="8" t="s">
        <v>2789</v>
      </c>
      <c r="F4" s="8" t="s">
        <v>2790</v>
      </c>
      <c r="G4" s="8" t="s">
        <v>2791</v>
      </c>
      <c r="H4" s="8" t="s">
        <v>2792</v>
      </c>
      <c r="I4" s="8" t="s">
        <v>2793</v>
      </c>
      <c r="J4" s="8" t="s">
        <v>2794</v>
      </c>
      <c r="K4" s="8" t="s">
        <v>2795</v>
      </c>
      <c r="L4" s="8" t="s">
        <v>2796</v>
      </c>
      <c r="M4" s="8" t="s">
        <v>1908</v>
      </c>
    </row>
    <row r="5" spans="1:13">
      <c r="A5" s="9" t="s">
        <v>2797</v>
      </c>
      <c r="B5" s="9" t="s">
        <v>2798</v>
      </c>
      <c r="C5" s="9" t="s">
        <v>2799</v>
      </c>
      <c r="D5" s="9" t="s">
        <v>2693</v>
      </c>
      <c r="E5" s="9" t="s">
        <v>2800</v>
      </c>
      <c r="F5" s="9" t="s">
        <v>2801</v>
      </c>
      <c r="G5" s="9" t="s">
        <v>2802</v>
      </c>
      <c r="H5" s="9" t="s">
        <v>2803</v>
      </c>
      <c r="I5" s="9" t="s">
        <v>2766</v>
      </c>
      <c r="J5" s="9" t="s">
        <v>2804</v>
      </c>
      <c r="K5" s="9" t="s">
        <v>49</v>
      </c>
      <c r="L5" s="9" t="s">
        <v>2805</v>
      </c>
      <c r="M5" s="9" t="s">
        <v>2806</v>
      </c>
    </row>
    <row r="6" spans="1:13">
      <c r="A6" s="9" t="s">
        <v>2797</v>
      </c>
      <c r="B6" s="9" t="s">
        <v>2807</v>
      </c>
      <c r="C6" s="9" t="s">
        <v>2808</v>
      </c>
      <c r="D6" s="9" t="s">
        <v>2693</v>
      </c>
      <c r="E6" s="9" t="s">
        <v>2809</v>
      </c>
      <c r="F6" s="9" t="s">
        <v>2810</v>
      </c>
      <c r="G6" s="9" t="s">
        <v>2811</v>
      </c>
      <c r="H6" s="9" t="s">
        <v>2812</v>
      </c>
      <c r="I6" s="9" t="s">
        <v>2813</v>
      </c>
      <c r="J6" s="9" t="s">
        <v>49</v>
      </c>
      <c r="K6" s="9" t="s">
        <v>2814</v>
      </c>
      <c r="L6" s="9" t="s">
        <v>2815</v>
      </c>
      <c r="M6" s="9" t="s">
        <v>2816</v>
      </c>
    </row>
    <row r="7" spans="1:13">
      <c r="A7" s="9" t="s">
        <v>2797</v>
      </c>
      <c r="B7" s="9" t="s">
        <v>2817</v>
      </c>
      <c r="C7" s="9" t="s">
        <v>2818</v>
      </c>
      <c r="D7" s="9" t="s">
        <v>2693</v>
      </c>
      <c r="E7" s="9" t="s">
        <v>2819</v>
      </c>
      <c r="F7" s="9" t="s">
        <v>2820</v>
      </c>
      <c r="G7" s="9" t="s">
        <v>2821</v>
      </c>
      <c r="H7" s="9" t="s">
        <v>2822</v>
      </c>
      <c r="I7" s="9" t="s">
        <v>2766</v>
      </c>
      <c r="J7" s="9" t="s">
        <v>2804</v>
      </c>
      <c r="K7" s="9" t="s">
        <v>49</v>
      </c>
      <c r="L7" s="9" t="s">
        <v>2823</v>
      </c>
      <c r="M7" s="9"/>
    </row>
    <row r="8" spans="1:13">
      <c r="A8" s="9" t="s">
        <v>2797</v>
      </c>
      <c r="B8" s="9" t="s">
        <v>2824</v>
      </c>
      <c r="C8" s="9" t="s">
        <v>2825</v>
      </c>
      <c r="D8" s="9" t="s">
        <v>2693</v>
      </c>
      <c r="E8" s="9" t="s">
        <v>2826</v>
      </c>
      <c r="F8" s="9" t="s">
        <v>2827</v>
      </c>
      <c r="G8" s="9" t="s">
        <v>2828</v>
      </c>
      <c r="H8" s="9" t="s">
        <v>2812</v>
      </c>
      <c r="I8" s="9" t="s">
        <v>2829</v>
      </c>
      <c r="J8" s="9" t="s">
        <v>49</v>
      </c>
      <c r="K8" s="9" t="s">
        <v>2782</v>
      </c>
      <c r="L8" s="9" t="s">
        <v>2830</v>
      </c>
      <c r="M8" s="9" t="s">
        <v>2831</v>
      </c>
    </row>
    <row r="9" spans="1:13">
      <c r="A9" s="9" t="s">
        <v>2797</v>
      </c>
      <c r="B9" s="9" t="s">
        <v>2832</v>
      </c>
      <c r="C9" s="9" t="s">
        <v>2833</v>
      </c>
      <c r="D9" s="9" t="s">
        <v>2693</v>
      </c>
      <c r="E9" s="9" t="s">
        <v>2834</v>
      </c>
      <c r="F9" s="9" t="s">
        <v>2835</v>
      </c>
      <c r="G9" s="9" t="s">
        <v>2836</v>
      </c>
      <c r="H9" s="9" t="s">
        <v>2837</v>
      </c>
      <c r="I9" s="9" t="s">
        <v>2766</v>
      </c>
      <c r="J9" s="9" t="s">
        <v>2804</v>
      </c>
      <c r="K9" s="9" t="s">
        <v>49</v>
      </c>
      <c r="L9" s="9" t="s">
        <v>2838</v>
      </c>
      <c r="M9" s="9"/>
    </row>
    <row r="10" spans="1:13">
      <c r="A10" s="9" t="s">
        <v>2839</v>
      </c>
      <c r="B10" s="9" t="s">
        <v>2840</v>
      </c>
      <c r="C10" s="9" t="s">
        <v>2841</v>
      </c>
      <c r="D10" s="9" t="s">
        <v>2842</v>
      </c>
      <c r="E10" s="9" t="s">
        <v>2843</v>
      </c>
      <c r="F10" s="9" t="s">
        <v>2844</v>
      </c>
      <c r="G10" s="9" t="s">
        <v>2845</v>
      </c>
      <c r="H10" s="9" t="s">
        <v>2846</v>
      </c>
      <c r="I10" s="9" t="s">
        <v>2847</v>
      </c>
      <c r="J10" s="9" t="s">
        <v>2848</v>
      </c>
      <c r="K10" s="9" t="s">
        <v>2849</v>
      </c>
      <c r="L10" s="9" t="s">
        <v>2841</v>
      </c>
      <c r="M10" s="9" t="s">
        <v>2850</v>
      </c>
    </row>
    <row r="11" spans="1:13">
      <c r="A11" s="9" t="s">
        <v>2839</v>
      </c>
      <c r="B11" s="9" t="s">
        <v>2851</v>
      </c>
      <c r="C11" s="9" t="s">
        <v>2852</v>
      </c>
      <c r="D11" s="9" t="s">
        <v>2853</v>
      </c>
      <c r="E11" s="9" t="s">
        <v>2854</v>
      </c>
      <c r="F11" s="9" t="s">
        <v>2855</v>
      </c>
      <c r="G11" s="9" t="s">
        <v>2856</v>
      </c>
      <c r="H11" s="9" t="s">
        <v>2857</v>
      </c>
      <c r="I11" s="9" t="s">
        <v>2858</v>
      </c>
      <c r="J11" s="9" t="s">
        <v>49</v>
      </c>
      <c r="K11" s="9" t="s">
        <v>2859</v>
      </c>
      <c r="L11" s="9" t="s">
        <v>2860</v>
      </c>
      <c r="M11" s="9" t="s">
        <v>2861</v>
      </c>
    </row>
    <row r="12" spans="1:13">
      <c r="A12" s="9" t="s">
        <v>2862</v>
      </c>
      <c r="B12" s="9" t="s">
        <v>2863</v>
      </c>
      <c r="C12" s="9" t="s">
        <v>2864</v>
      </c>
      <c r="D12" s="9" t="s">
        <v>2865</v>
      </c>
      <c r="E12" s="9" t="s">
        <v>2866</v>
      </c>
      <c r="F12" s="9" t="s">
        <v>2867</v>
      </c>
      <c r="G12" s="9" t="s">
        <v>2868</v>
      </c>
      <c r="H12" s="9" t="s">
        <v>2869</v>
      </c>
      <c r="I12" s="9" t="s">
        <v>2870</v>
      </c>
      <c r="J12" s="9" t="s">
        <v>48</v>
      </c>
      <c r="K12" s="9" t="s">
        <v>2871</v>
      </c>
      <c r="L12" s="9" t="s">
        <v>2872</v>
      </c>
      <c r="M12" s="9" t="s">
        <v>2873</v>
      </c>
    </row>
    <row r="13" spans="1:13">
      <c r="A13" s="9" t="s">
        <v>2862</v>
      </c>
      <c r="B13" s="9" t="s">
        <v>2874</v>
      </c>
      <c r="C13" s="9" t="s">
        <v>2875</v>
      </c>
      <c r="D13" s="9" t="s">
        <v>2865</v>
      </c>
      <c r="E13" s="9" t="s">
        <v>2876</v>
      </c>
      <c r="F13" s="9" t="s">
        <v>2877</v>
      </c>
      <c r="G13" s="9" t="s">
        <v>2878</v>
      </c>
      <c r="H13" s="9" t="s">
        <v>2869</v>
      </c>
      <c r="I13" s="9" t="s">
        <v>2870</v>
      </c>
      <c r="J13" s="9" t="s">
        <v>2879</v>
      </c>
      <c r="K13" s="9" t="s">
        <v>2871</v>
      </c>
      <c r="L13" s="9" t="s">
        <v>2880</v>
      </c>
      <c r="M13" s="9" t="s">
        <v>2881</v>
      </c>
    </row>
    <row r="14" spans="1:13">
      <c r="A14" s="9" t="s">
        <v>2862</v>
      </c>
      <c r="B14" s="9" t="s">
        <v>2882</v>
      </c>
      <c r="C14" s="9" t="s">
        <v>2883</v>
      </c>
      <c r="D14" s="9" t="s">
        <v>2865</v>
      </c>
      <c r="E14" s="9" t="s">
        <v>2884</v>
      </c>
      <c r="F14" s="9" t="s">
        <v>2877</v>
      </c>
      <c r="G14" s="9" t="s">
        <v>2885</v>
      </c>
      <c r="H14" s="9" t="s">
        <v>2869</v>
      </c>
      <c r="I14" s="9" t="s">
        <v>2886</v>
      </c>
      <c r="J14" s="9" t="s">
        <v>49</v>
      </c>
      <c r="K14" s="9" t="s">
        <v>2871</v>
      </c>
      <c r="L14" s="9" t="s">
        <v>2887</v>
      </c>
      <c r="M14" s="9" t="s">
        <v>2888</v>
      </c>
    </row>
    <row r="15" spans="1:13">
      <c r="A15" s="9" t="s">
        <v>2889</v>
      </c>
      <c r="B15" s="9" t="s">
        <v>2874</v>
      </c>
      <c r="C15" s="9" t="s">
        <v>2890</v>
      </c>
      <c r="D15" s="9" t="s">
        <v>2891</v>
      </c>
      <c r="E15" s="9" t="s">
        <v>2892</v>
      </c>
      <c r="F15" s="9" t="s">
        <v>2893</v>
      </c>
      <c r="G15" s="9" t="s">
        <v>2894</v>
      </c>
      <c r="H15" s="9" t="s">
        <v>2895</v>
      </c>
      <c r="I15" s="9" t="s">
        <v>2896</v>
      </c>
      <c r="J15" s="9" t="s">
        <v>2897</v>
      </c>
      <c r="K15" s="9" t="s">
        <v>49</v>
      </c>
      <c r="L15" s="9" t="s">
        <v>2898</v>
      </c>
      <c r="M15" s="9" t="s">
        <v>2899</v>
      </c>
    </row>
    <row r="16" spans="1:13">
      <c r="A16" s="9" t="s">
        <v>2889</v>
      </c>
      <c r="B16" s="9" t="s">
        <v>2900</v>
      </c>
      <c r="C16" s="9" t="s">
        <v>2901</v>
      </c>
      <c r="D16" s="9" t="s">
        <v>2891</v>
      </c>
      <c r="E16" s="9" t="s">
        <v>2902</v>
      </c>
      <c r="F16" s="9" t="s">
        <v>2893</v>
      </c>
      <c r="G16" s="9" t="s">
        <v>2894</v>
      </c>
      <c r="H16" s="9" t="s">
        <v>2895</v>
      </c>
      <c r="I16" s="9" t="s">
        <v>2903</v>
      </c>
      <c r="J16" s="9" t="s">
        <v>2904</v>
      </c>
      <c r="K16" s="9" t="s">
        <v>49</v>
      </c>
      <c r="L16" s="9" t="s">
        <v>2905</v>
      </c>
      <c r="M16" s="9"/>
    </row>
    <row r="17" spans="1:13">
      <c r="A17" s="9" t="s">
        <v>2889</v>
      </c>
      <c r="B17" s="9" t="s">
        <v>2906</v>
      </c>
      <c r="C17" s="9" t="s">
        <v>2907</v>
      </c>
      <c r="D17" s="9" t="s">
        <v>2891</v>
      </c>
      <c r="E17" s="9" t="s">
        <v>2908</v>
      </c>
      <c r="F17" s="9" t="s">
        <v>2893</v>
      </c>
      <c r="G17" s="9" t="s">
        <v>2909</v>
      </c>
      <c r="H17" s="9" t="s">
        <v>2895</v>
      </c>
      <c r="I17" s="9" t="s">
        <v>2910</v>
      </c>
      <c r="J17" s="9" t="s">
        <v>49</v>
      </c>
      <c r="K17" s="9" t="s">
        <v>49</v>
      </c>
      <c r="L17" s="9" t="s">
        <v>2911</v>
      </c>
      <c r="M17" s="9" t="s">
        <v>2912</v>
      </c>
    </row>
    <row r="18" spans="1:13">
      <c r="A18" s="9" t="s">
        <v>2889</v>
      </c>
      <c r="B18" s="9" t="s">
        <v>2913</v>
      </c>
      <c r="C18" s="9" t="s">
        <v>2914</v>
      </c>
      <c r="D18" s="9" t="s">
        <v>2891</v>
      </c>
      <c r="E18" s="9" t="s">
        <v>2914</v>
      </c>
      <c r="F18" s="9" t="s">
        <v>2893</v>
      </c>
      <c r="G18" s="9" t="s">
        <v>2915</v>
      </c>
      <c r="H18" s="9" t="s">
        <v>2895</v>
      </c>
      <c r="I18" s="9" t="s">
        <v>2916</v>
      </c>
      <c r="J18" s="9" t="s">
        <v>14</v>
      </c>
      <c r="K18" s="9" t="s">
        <v>49</v>
      </c>
      <c r="L18" s="9" t="s">
        <v>2917</v>
      </c>
      <c r="M18" s="9" t="s">
        <v>2918</v>
      </c>
    </row>
    <row r="19" spans="1:13">
      <c r="A19" s="9" t="s">
        <v>2889</v>
      </c>
      <c r="B19" s="9" t="s">
        <v>2882</v>
      </c>
      <c r="C19" s="9" t="s">
        <v>2919</v>
      </c>
      <c r="D19" s="9" t="s">
        <v>2891</v>
      </c>
      <c r="E19" s="9" t="s">
        <v>2920</v>
      </c>
      <c r="F19" s="9" t="s">
        <v>2893</v>
      </c>
      <c r="G19" s="9" t="s">
        <v>2921</v>
      </c>
      <c r="H19" s="9" t="s">
        <v>2895</v>
      </c>
      <c r="I19" s="9" t="s">
        <v>2922</v>
      </c>
      <c r="J19" s="9" t="s">
        <v>49</v>
      </c>
      <c r="K19" s="9" t="s">
        <v>2923</v>
      </c>
      <c r="L19" s="9" t="s">
        <v>2924</v>
      </c>
      <c r="M19" s="9" t="s">
        <v>2925</v>
      </c>
    </row>
    <row r="20" spans="1:13">
      <c r="A20" s="9" t="s">
        <v>2889</v>
      </c>
      <c r="B20" s="9" t="s">
        <v>2863</v>
      </c>
      <c r="C20" s="9" t="s">
        <v>2926</v>
      </c>
      <c r="D20" s="9" t="s">
        <v>2891</v>
      </c>
      <c r="E20" s="9" t="s">
        <v>2927</v>
      </c>
      <c r="F20" s="9" t="s">
        <v>2893</v>
      </c>
      <c r="G20" s="9" t="s">
        <v>2928</v>
      </c>
      <c r="H20" s="9" t="s">
        <v>2895</v>
      </c>
      <c r="I20" s="9" t="s">
        <v>2929</v>
      </c>
      <c r="J20" s="9" t="s">
        <v>48</v>
      </c>
      <c r="K20" s="9" t="s">
        <v>2930</v>
      </c>
      <c r="L20" s="9" t="s">
        <v>2931</v>
      </c>
      <c r="M20" s="9" t="s">
        <v>2932</v>
      </c>
    </row>
    <row r="21" spans="1:13">
      <c r="A21" s="9" t="s">
        <v>2889</v>
      </c>
      <c r="B21" s="9" t="s">
        <v>2933</v>
      </c>
      <c r="C21" s="9" t="s">
        <v>2934</v>
      </c>
      <c r="D21" s="9" t="s">
        <v>2891</v>
      </c>
      <c r="E21" s="9" t="s">
        <v>2935</v>
      </c>
      <c r="F21" s="9" t="s">
        <v>2893</v>
      </c>
      <c r="G21" s="9" t="s">
        <v>2936</v>
      </c>
      <c r="H21" s="9" t="s">
        <v>2895</v>
      </c>
      <c r="I21" s="9" t="s">
        <v>2937</v>
      </c>
      <c r="J21" s="9" t="s">
        <v>48</v>
      </c>
      <c r="K21" s="9" t="s">
        <v>48</v>
      </c>
      <c r="L21" s="9" t="s">
        <v>2938</v>
      </c>
      <c r="M21" s="9" t="s">
        <v>2939</v>
      </c>
    </row>
    <row r="22" spans="1:13">
      <c r="A22" s="9" t="s">
        <v>2940</v>
      </c>
      <c r="B22" s="9" t="s">
        <v>2941</v>
      </c>
      <c r="C22" s="9" t="s">
        <v>2942</v>
      </c>
      <c r="D22" s="9" t="s">
        <v>2693</v>
      </c>
      <c r="E22" s="9" t="s">
        <v>2943</v>
      </c>
      <c r="F22" s="9" t="s">
        <v>2944</v>
      </c>
      <c r="G22" s="9" t="s">
        <v>2945</v>
      </c>
      <c r="H22" s="9" t="s">
        <v>2837</v>
      </c>
      <c r="I22" s="9" t="s">
        <v>2766</v>
      </c>
      <c r="J22" s="9" t="s">
        <v>2848</v>
      </c>
      <c r="K22" s="9" t="s">
        <v>49</v>
      </c>
      <c r="L22" s="9" t="s">
        <v>2946</v>
      </c>
      <c r="M22" s="9" t="s">
        <v>2947</v>
      </c>
    </row>
    <row r="23" spans="1:13">
      <c r="A23" s="9" t="s">
        <v>2940</v>
      </c>
      <c r="B23" s="9" t="s">
        <v>2948</v>
      </c>
      <c r="C23" s="9" t="s">
        <v>2949</v>
      </c>
      <c r="D23" s="9" t="s">
        <v>2693</v>
      </c>
      <c r="E23" s="9" t="s">
        <v>2950</v>
      </c>
      <c r="F23" s="9" t="s">
        <v>2951</v>
      </c>
      <c r="G23" s="9" t="s">
        <v>2952</v>
      </c>
      <c r="H23" s="9" t="s">
        <v>2953</v>
      </c>
      <c r="I23" s="9" t="s">
        <v>2766</v>
      </c>
      <c r="J23" s="9" t="s">
        <v>2804</v>
      </c>
      <c r="K23" s="9" t="s">
        <v>49</v>
      </c>
      <c r="L23" s="9" t="s">
        <v>2954</v>
      </c>
      <c r="M23" s="9"/>
    </row>
    <row r="24" spans="1:13">
      <c r="A24" s="9" t="s">
        <v>2940</v>
      </c>
      <c r="B24" s="9" t="s">
        <v>2807</v>
      </c>
      <c r="C24" s="9" t="s">
        <v>2808</v>
      </c>
      <c r="D24" s="9" t="s">
        <v>2693</v>
      </c>
      <c r="E24" s="9" t="s">
        <v>2955</v>
      </c>
      <c r="F24" s="9" t="s">
        <v>2956</v>
      </c>
      <c r="G24" s="9" t="s">
        <v>2957</v>
      </c>
      <c r="H24" s="9" t="s">
        <v>2953</v>
      </c>
      <c r="I24" s="9" t="s">
        <v>2958</v>
      </c>
      <c r="J24" s="9" t="s">
        <v>49</v>
      </c>
      <c r="K24" s="9" t="s">
        <v>2959</v>
      </c>
      <c r="L24" s="9" t="s">
        <v>2960</v>
      </c>
      <c r="M24" s="9" t="s">
        <v>2961</v>
      </c>
    </row>
    <row r="25" spans="1:13">
      <c r="A25" s="9" t="s">
        <v>2940</v>
      </c>
      <c r="B25" s="9" t="s">
        <v>2962</v>
      </c>
      <c r="C25" s="9" t="s">
        <v>2963</v>
      </c>
      <c r="D25" s="9" t="s">
        <v>2693</v>
      </c>
      <c r="E25" s="9" t="s">
        <v>2964</v>
      </c>
      <c r="F25" s="9" t="s">
        <v>2965</v>
      </c>
      <c r="G25" s="9" t="s">
        <v>2966</v>
      </c>
      <c r="H25" s="9" t="s">
        <v>2953</v>
      </c>
      <c r="I25" s="9" t="s">
        <v>2766</v>
      </c>
      <c r="J25" s="9" t="s">
        <v>2804</v>
      </c>
      <c r="K25" s="9" t="s">
        <v>49</v>
      </c>
      <c r="L25" s="9" t="s">
        <v>2823</v>
      </c>
      <c r="M25" s="9"/>
    </row>
    <row r="26" spans="1:13">
      <c r="A26" s="9" t="s">
        <v>2940</v>
      </c>
      <c r="B26" s="9" t="s">
        <v>2967</v>
      </c>
      <c r="C26" s="9" t="s">
        <v>2968</v>
      </c>
      <c r="D26" s="9" t="s">
        <v>2693</v>
      </c>
      <c r="E26" s="9" t="s">
        <v>2969</v>
      </c>
      <c r="F26" s="9" t="s">
        <v>2970</v>
      </c>
      <c r="G26" s="9" t="s">
        <v>2971</v>
      </c>
      <c r="H26" s="9" t="s">
        <v>2972</v>
      </c>
      <c r="I26" s="9" t="s">
        <v>2973</v>
      </c>
      <c r="J26" s="9" t="s">
        <v>48</v>
      </c>
      <c r="K26" s="9" t="s">
        <v>2974</v>
      </c>
      <c r="L26" s="9" t="s">
        <v>2975</v>
      </c>
      <c r="M26" s="9" t="s">
        <v>2976</v>
      </c>
    </row>
    <row r="27" spans="1:13">
      <c r="A27" s="9" t="s">
        <v>2940</v>
      </c>
      <c r="B27" s="9" t="s">
        <v>2773</v>
      </c>
      <c r="C27" s="9" t="s">
        <v>2977</v>
      </c>
      <c r="D27" s="9" t="s">
        <v>2693</v>
      </c>
      <c r="E27" s="9" t="s">
        <v>2978</v>
      </c>
      <c r="F27" s="9" t="s">
        <v>2979</v>
      </c>
      <c r="G27" s="9" t="s">
        <v>2980</v>
      </c>
      <c r="H27" s="9" t="s">
        <v>2953</v>
      </c>
      <c r="I27" s="9" t="s">
        <v>2981</v>
      </c>
      <c r="J27" s="9" t="s">
        <v>49</v>
      </c>
      <c r="K27" s="9" t="s">
        <v>2982</v>
      </c>
      <c r="L27" s="9" t="s">
        <v>2774</v>
      </c>
      <c r="M27" s="9" t="s">
        <v>2983</v>
      </c>
    </row>
  </sheetData>
  <mergeCells count="2">
    <mergeCell ref="A1:M1"/>
    <mergeCell ref="A2:M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7"/>
  <sheetViews>
    <sheetView showGridLines="0" workbookViewId="0">
      <pane ySplit="4" topLeftCell="A5" activePane="bottomLeft" state="frozen"/>
      <selection pane="bottomLeft"/>
    </sheetView>
  </sheetViews>
  <sheetFormatPr defaultRowHeight="15"/>
  <cols>
    <col min="1" max="1" width="28" customWidth="1"/>
    <col min="2" max="2" width="24" customWidth="1"/>
    <col min="3" max="3" width="72" customWidth="1"/>
    <col min="4" max="4" width="40" customWidth="1"/>
    <col min="5" max="5" width="52" customWidth="1"/>
    <col min="6" max="6" width="15" customWidth="1"/>
  </cols>
  <sheetData>
    <row r="1" spans="1:6" ht="32.1" customHeight="1">
      <c r="A1" s="22" t="s">
        <v>2984</v>
      </c>
      <c r="B1" s="22"/>
      <c r="C1" s="22"/>
      <c r="D1" s="22"/>
      <c r="E1" s="22"/>
      <c r="F1" s="22"/>
    </row>
    <row r="2" spans="1:6" ht="33.950000000000003" customHeight="1">
      <c r="A2" s="18" t="s">
        <v>2985</v>
      </c>
      <c r="B2" s="18"/>
      <c r="C2" s="18"/>
      <c r="D2" s="18"/>
      <c r="E2" s="18"/>
      <c r="F2" s="18"/>
    </row>
    <row r="4" spans="1:6" ht="38.1" customHeight="1">
      <c r="A4" s="8" t="s">
        <v>2986</v>
      </c>
      <c r="B4" s="8" t="s">
        <v>2987</v>
      </c>
      <c r="C4" s="8" t="s">
        <v>2988</v>
      </c>
      <c r="D4" s="8" t="s">
        <v>2535</v>
      </c>
      <c r="E4" s="8" t="s">
        <v>2989</v>
      </c>
      <c r="F4" s="8" t="s">
        <v>2990</v>
      </c>
    </row>
    <row r="5" spans="1:6">
      <c r="A5" s="9" t="s">
        <v>2991</v>
      </c>
      <c r="B5" s="9" t="s">
        <v>2992</v>
      </c>
      <c r="C5" s="9" t="s">
        <v>2993</v>
      </c>
      <c r="D5" s="9" t="s">
        <v>2994</v>
      </c>
      <c r="E5" s="9" t="s">
        <v>2995</v>
      </c>
      <c r="F5" s="9" t="s">
        <v>2996</v>
      </c>
    </row>
    <row r="6" spans="1:6">
      <c r="A6" s="9" t="s">
        <v>2997</v>
      </c>
      <c r="B6" s="9" t="s">
        <v>2992</v>
      </c>
      <c r="C6" s="9" t="s">
        <v>2998</v>
      </c>
      <c r="D6" s="9" t="s">
        <v>2999</v>
      </c>
      <c r="E6" s="9" t="s">
        <v>3000</v>
      </c>
      <c r="F6" s="9" t="s">
        <v>2996</v>
      </c>
    </row>
    <row r="7" spans="1:6">
      <c r="A7" s="9" t="s">
        <v>3001</v>
      </c>
      <c r="B7" s="9" t="s">
        <v>2992</v>
      </c>
      <c r="C7" s="9" t="s">
        <v>3002</v>
      </c>
      <c r="D7" s="9" t="s">
        <v>3003</v>
      </c>
      <c r="E7" s="9" t="s">
        <v>3000</v>
      </c>
      <c r="F7" s="9" t="s">
        <v>2996</v>
      </c>
    </row>
    <row r="8" spans="1:6">
      <c r="A8" s="9" t="s">
        <v>3004</v>
      </c>
      <c r="B8" s="9" t="s">
        <v>2992</v>
      </c>
      <c r="C8" s="9" t="s">
        <v>3005</v>
      </c>
      <c r="D8" s="9" t="s">
        <v>3006</v>
      </c>
      <c r="E8" s="9" t="s">
        <v>3007</v>
      </c>
      <c r="F8" s="9" t="s">
        <v>2996</v>
      </c>
    </row>
    <row r="9" spans="1:6">
      <c r="A9" s="9" t="s">
        <v>3008</v>
      </c>
      <c r="B9" s="9" t="s">
        <v>3009</v>
      </c>
      <c r="C9" s="9" t="s">
        <v>3010</v>
      </c>
      <c r="D9" s="9" t="s">
        <v>3011</v>
      </c>
      <c r="E9" s="9" t="s">
        <v>3012</v>
      </c>
      <c r="F9" s="9" t="s">
        <v>2996</v>
      </c>
    </row>
    <row r="10" spans="1:6">
      <c r="A10" s="9" t="s">
        <v>3013</v>
      </c>
      <c r="B10" s="9" t="s">
        <v>3014</v>
      </c>
      <c r="C10" s="9" t="s">
        <v>3015</v>
      </c>
      <c r="D10" s="9" t="s">
        <v>3016</v>
      </c>
      <c r="E10" s="9" t="s">
        <v>3017</v>
      </c>
      <c r="F10" s="9" t="s">
        <v>2996</v>
      </c>
    </row>
    <row r="11" spans="1:6">
      <c r="A11" s="9" t="s">
        <v>3018</v>
      </c>
      <c r="B11" s="9" t="s">
        <v>3019</v>
      </c>
      <c r="C11" s="9" t="s">
        <v>3020</v>
      </c>
      <c r="D11" s="9" t="s">
        <v>3021</v>
      </c>
      <c r="E11" s="9" t="s">
        <v>3022</v>
      </c>
      <c r="F11" s="9" t="s">
        <v>2996</v>
      </c>
    </row>
    <row r="12" spans="1:6">
      <c r="A12" s="9" t="s">
        <v>3023</v>
      </c>
      <c r="B12" s="9" t="s">
        <v>3024</v>
      </c>
      <c r="C12" s="9" t="s">
        <v>3025</v>
      </c>
      <c r="D12" s="9" t="s">
        <v>3026</v>
      </c>
      <c r="E12" s="9" t="s">
        <v>3027</v>
      </c>
      <c r="F12" s="9" t="s">
        <v>2996</v>
      </c>
    </row>
    <row r="13" spans="1:6">
      <c r="A13" s="9" t="s">
        <v>3028</v>
      </c>
      <c r="B13" s="9" t="s">
        <v>3029</v>
      </c>
      <c r="C13" s="9" t="s">
        <v>3030</v>
      </c>
      <c r="D13" s="9" t="s">
        <v>3031</v>
      </c>
      <c r="E13" s="9" t="s">
        <v>3032</v>
      </c>
      <c r="F13" s="9" t="s">
        <v>2996</v>
      </c>
    </row>
    <row r="14" spans="1:6">
      <c r="A14" s="9" t="s">
        <v>3033</v>
      </c>
      <c r="B14" s="9" t="s">
        <v>3034</v>
      </c>
      <c r="C14" s="9" t="s">
        <v>3035</v>
      </c>
      <c r="D14" s="9" t="s">
        <v>3036</v>
      </c>
      <c r="E14" s="9" t="s">
        <v>3037</v>
      </c>
      <c r="F14" s="9" t="s">
        <v>2996</v>
      </c>
    </row>
    <row r="15" spans="1:6">
      <c r="A15" s="9" t="s">
        <v>3038</v>
      </c>
      <c r="B15" s="9" t="s">
        <v>2372</v>
      </c>
      <c r="C15" s="9" t="s">
        <v>3039</v>
      </c>
      <c r="D15" s="9" t="s">
        <v>3040</v>
      </c>
      <c r="E15" s="9" t="s">
        <v>3041</v>
      </c>
      <c r="F15" s="9" t="s">
        <v>2996</v>
      </c>
    </row>
    <row r="16" spans="1:6">
      <c r="A16" s="9" t="s">
        <v>2889</v>
      </c>
      <c r="B16" s="9" t="s">
        <v>3042</v>
      </c>
      <c r="C16" s="9" t="s">
        <v>3043</v>
      </c>
      <c r="D16" s="9" t="s">
        <v>3044</v>
      </c>
      <c r="E16" s="9" t="s">
        <v>3045</v>
      </c>
      <c r="F16" s="9" t="s">
        <v>2996</v>
      </c>
    </row>
    <row r="17" spans="1:6">
      <c r="A17" s="9" t="s">
        <v>3046</v>
      </c>
      <c r="B17" s="9" t="s">
        <v>3047</v>
      </c>
      <c r="C17" s="9" t="s">
        <v>3048</v>
      </c>
      <c r="D17" s="9" t="s">
        <v>3049</v>
      </c>
      <c r="E17" s="9" t="s">
        <v>3050</v>
      </c>
      <c r="F17" s="9" t="s">
        <v>2996</v>
      </c>
    </row>
  </sheetData>
  <mergeCells count="2">
    <mergeCell ref="A1:F1"/>
    <mergeCell ref="A2:F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3c0cdf1-bb37-45f5-abee-2a3929b27b6c" xsi:nil="true"/>
    <Externallink xmlns="2bccec70-dced-47d7-8222-46384629c4ff" xsi:nil="true"/>
    <lcf76f155ced4ddcb4097134ff3c332f xmlns="2bccec70-dced-47d7-8222-46384629c4f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A2BD65F2A9A844B126DFC954CE51D4" ma:contentTypeVersion="20" ma:contentTypeDescription="Create a new document." ma:contentTypeScope="" ma:versionID="f5f75d9d38cb40eb447caf5787564b46">
  <xsd:schema xmlns:xsd="http://www.w3.org/2001/XMLSchema" xmlns:xs="http://www.w3.org/2001/XMLSchema" xmlns:p="http://schemas.microsoft.com/office/2006/metadata/properties" xmlns:ns2="2bccec70-dced-47d7-8222-46384629c4ff" xmlns:ns3="03c0cdf1-bb37-45f5-abee-2a3929b27b6c" targetNamespace="http://schemas.microsoft.com/office/2006/metadata/properties" ma:root="true" ma:fieldsID="c5bd8a0802f76fee69c164a72e0d5208" ns2:_="" ns3:_="">
    <xsd:import namespace="2bccec70-dced-47d7-8222-46384629c4ff"/>
    <xsd:import namespace="03c0cdf1-bb37-45f5-abee-2a3929b27b6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Externallink"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cec70-dced-47d7-8222-46384629c4f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9d7700-8801-4e65-905e-5029f7d3d6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Externallink" ma:index="25" nillable="true" ma:displayName="External link" ma:description="Add external system link to add traceability" ma:format="Dropdown" ma:internalName="Externallink">
      <xsd:simpleType>
        <xsd:restriction base="dms:Note">
          <xsd:maxLength value="255"/>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c0cdf1-bb37-45f5-abee-2a3929b27b6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4954035-d8a8-4f2c-a143-246f44781f5b}" ma:internalName="TaxCatchAll" ma:showField="CatchAllData" ma:web="03c0cdf1-bb37-45f5-abee-2a3929b27b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6B606A-80C7-477A-A5C3-11DA8AE14F71}"/>
</file>

<file path=customXml/itemProps2.xml><?xml version="1.0" encoding="utf-8"?>
<ds:datastoreItem xmlns:ds="http://schemas.openxmlformats.org/officeDocument/2006/customXml" ds:itemID="{2686E44C-8C0A-45EA-AD56-CAA0D050BC6C}"/>
</file>

<file path=customXml/itemProps3.xml><?xml version="1.0" encoding="utf-8"?>
<ds:datastoreItem xmlns:ds="http://schemas.openxmlformats.org/officeDocument/2006/customXml" ds:itemID="{0CE4ECD1-E189-4D79-8E30-AE91B20B9E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 Jiaxin</cp:lastModifiedBy>
  <cp:revision/>
  <dcterms:created xsi:type="dcterms:W3CDTF">2026-10-07T11:47:09Z</dcterms:created>
  <dcterms:modified xsi:type="dcterms:W3CDTF">2026-10-16T14:12:07Z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0x0101000EA2BD65F2A9A844B126DFC954CE51D4</vt:lpwstr>
  </property>
  <property fmtid="{D5CDD505-2E9C-101B-9397-08002B2CF9AE}" pid="3" name="MediaServiceImageTags">
    <vt:lpwstr/>
  </property>
</Properties>
</file>